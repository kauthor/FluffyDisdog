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7B5F19CA-6D29-49B7-9133-756A18367E4B}" xr6:coauthVersionLast="47" xr6:coauthVersionMax="47" xr10:uidLastSave="{00000000-0000-0000-0000-000000000000}"/>
  <bookViews>
    <workbookView xWindow="-120" yWindow="-120" windowWidth="38640" windowHeight="21120" firstSheet="3" activeTab="4" xr2:uid="{4D4BC3DD-3DE6-4D99-9EA3-BD1AE9E87446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6" i="5" l="1"/>
  <c r="P36" i="5"/>
  <c r="Q36" i="5"/>
  <c r="R36" i="5"/>
  <c r="S36" i="5"/>
  <c r="T36" i="5"/>
  <c r="U36" i="5"/>
  <c r="V36" i="5"/>
  <c r="W36" i="5"/>
  <c r="X36" i="5"/>
  <c r="C36" i="5"/>
  <c r="F166" i="9"/>
  <c r="F167" i="9"/>
  <c r="F168" i="9"/>
  <c r="F169" i="9"/>
  <c r="F155" i="9"/>
  <c r="F156" i="9"/>
  <c r="F157" i="9"/>
  <c r="A153" i="9"/>
  <c r="A154" i="9"/>
  <c r="A155" i="9"/>
  <c r="A156" i="9"/>
  <c r="A157" i="9"/>
  <c r="A158" i="9"/>
  <c r="A159" i="9"/>
  <c r="A166" i="9"/>
  <c r="A167" i="9"/>
  <c r="A168" i="9"/>
  <c r="A169" i="9"/>
  <c r="F144" i="9"/>
  <c r="F145" i="9"/>
  <c r="F146" i="9"/>
  <c r="F147" i="9"/>
  <c r="L135" i="9"/>
  <c r="A144" i="9"/>
  <c r="A145" i="9"/>
  <c r="A146" i="9"/>
  <c r="A133" i="9"/>
  <c r="A134" i="9"/>
  <c r="A135" i="9"/>
  <c r="A136" i="9"/>
  <c r="F133" i="9"/>
  <c r="F134" i="9"/>
  <c r="F135" i="9"/>
  <c r="F136" i="9"/>
  <c r="F118" i="9"/>
  <c r="F119" i="9"/>
  <c r="F120" i="9"/>
  <c r="F121" i="9"/>
  <c r="A118" i="9"/>
  <c r="A119" i="9"/>
  <c r="A120" i="9"/>
  <c r="A121" i="9"/>
  <c r="A103" i="9"/>
  <c r="A104" i="9"/>
  <c r="A105" i="9"/>
  <c r="F103" i="9"/>
  <c r="F104" i="9"/>
  <c r="F105" i="9"/>
  <c r="F106" i="9"/>
  <c r="F77" i="9"/>
  <c r="F78" i="9"/>
  <c r="F79" i="9"/>
  <c r="F80" i="9"/>
  <c r="A77" i="9"/>
  <c r="A78" i="9"/>
  <c r="A79" i="9"/>
  <c r="A80" i="9"/>
  <c r="A62" i="9"/>
  <c r="A63" i="9"/>
  <c r="A64" i="9"/>
  <c r="F64" i="9"/>
  <c r="F63" i="9"/>
  <c r="F6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5" i="9"/>
  <c r="A66" i="9"/>
  <c r="A67" i="9"/>
  <c r="A68" i="9"/>
  <c r="A69" i="9"/>
  <c r="A70" i="9"/>
  <c r="A71" i="9"/>
  <c r="A72" i="9"/>
  <c r="A73" i="9"/>
  <c r="A74" i="9"/>
  <c r="A75" i="9"/>
  <c r="A76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22" i="9"/>
  <c r="A123" i="9"/>
  <c r="A124" i="9"/>
  <c r="A125" i="9"/>
  <c r="A126" i="9"/>
  <c r="A127" i="9"/>
  <c r="A128" i="9"/>
  <c r="A129" i="9"/>
  <c r="A130" i="9"/>
  <c r="A131" i="9"/>
  <c r="A132" i="9"/>
  <c r="A137" i="9"/>
  <c r="A138" i="9"/>
  <c r="A139" i="9"/>
  <c r="A140" i="9"/>
  <c r="A141" i="9"/>
  <c r="A142" i="9"/>
  <c r="A143" i="9"/>
  <c r="A147" i="9"/>
  <c r="A148" i="9"/>
  <c r="A149" i="9"/>
  <c r="A150" i="9"/>
  <c r="A151" i="9"/>
  <c r="A152" i="9"/>
  <c r="A160" i="9"/>
  <c r="A161" i="9"/>
  <c r="A162" i="9"/>
  <c r="A163" i="9"/>
  <c r="A164" i="9"/>
  <c r="A165" i="9"/>
  <c r="A170" i="9"/>
  <c r="A171" i="9"/>
  <c r="A172" i="9"/>
  <c r="A173" i="9"/>
  <c r="A174" i="9"/>
  <c r="A175" i="9"/>
  <c r="A176" i="9"/>
  <c r="A177" i="9"/>
  <c r="A178" i="9"/>
  <c r="F41" i="9"/>
  <c r="F42" i="9"/>
  <c r="F43" i="9"/>
  <c r="F44" i="9"/>
  <c r="F45" i="9"/>
  <c r="F46" i="9"/>
  <c r="F47" i="9"/>
  <c r="F49" i="9"/>
  <c r="F48" i="9"/>
  <c r="F87" i="9"/>
  <c r="F88" i="9"/>
  <c r="F89" i="9"/>
  <c r="F170" i="9"/>
  <c r="F171" i="9"/>
  <c r="F172" i="9"/>
  <c r="F173" i="9"/>
  <c r="F174" i="9"/>
  <c r="F175" i="9"/>
  <c r="F176" i="9"/>
  <c r="F177" i="9"/>
  <c r="F178" i="9"/>
  <c r="F159" i="9"/>
  <c r="F160" i="9"/>
  <c r="F161" i="9"/>
  <c r="F162" i="9"/>
  <c r="F163" i="9"/>
  <c r="F164" i="9"/>
  <c r="F165" i="9"/>
  <c r="F148" i="9"/>
  <c r="F149" i="9"/>
  <c r="F150" i="9"/>
  <c r="F151" i="9"/>
  <c r="F152" i="9"/>
  <c r="F153" i="9"/>
  <c r="F154" i="9"/>
  <c r="F158" i="9"/>
  <c r="F137" i="9"/>
  <c r="F138" i="9"/>
  <c r="F139" i="9"/>
  <c r="F140" i="9"/>
  <c r="F141" i="9"/>
  <c r="F142" i="9"/>
  <c r="F143" i="9"/>
  <c r="D3" i="15"/>
  <c r="D4" i="15"/>
  <c r="D5" i="15"/>
  <c r="D6" i="15"/>
  <c r="D7" i="15"/>
  <c r="D8" i="15"/>
  <c r="D2" i="15"/>
  <c r="F122" i="9"/>
  <c r="F132" i="9"/>
  <c r="F131" i="9"/>
  <c r="F130" i="9"/>
  <c r="F129" i="9"/>
  <c r="F128" i="9"/>
  <c r="F127" i="9"/>
  <c r="F126" i="9"/>
  <c r="F125" i="9"/>
  <c r="F124" i="9"/>
  <c r="F123" i="9"/>
  <c r="F51" i="9"/>
  <c r="F52" i="9"/>
  <c r="F53" i="9"/>
  <c r="F54" i="9"/>
  <c r="F55" i="9"/>
  <c r="F56" i="9"/>
  <c r="F57" i="9"/>
  <c r="F58" i="9"/>
  <c r="F59" i="9"/>
  <c r="F60" i="9"/>
  <c r="F61" i="9"/>
  <c r="F65" i="9"/>
  <c r="F66" i="9"/>
  <c r="F67" i="9"/>
  <c r="F68" i="9"/>
  <c r="F69" i="9"/>
  <c r="F70" i="9"/>
  <c r="F71" i="9"/>
  <c r="F72" i="9"/>
  <c r="F73" i="9"/>
  <c r="F74" i="9"/>
  <c r="F75" i="9"/>
  <c r="F76" i="9"/>
  <c r="F117" i="9"/>
  <c r="F116" i="9"/>
  <c r="F115" i="9"/>
  <c r="F114" i="9"/>
  <c r="F113" i="9"/>
  <c r="F112" i="9"/>
  <c r="F111" i="9"/>
  <c r="F110" i="9"/>
  <c r="F109" i="9"/>
  <c r="F108" i="9"/>
  <c r="F107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6" i="9"/>
  <c r="F85" i="9"/>
  <c r="F84" i="9"/>
  <c r="F83" i="9"/>
  <c r="F82" i="9"/>
  <c r="F81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50" i="9"/>
  <c r="F2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<sst xmlns="http://schemas.openxmlformats.org/spreadsheetml/2006/main" count="1851" uniqueCount="1197">
  <si>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</si>
  <si>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</si>
  <si>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</si>
  <si>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</si>
  <si>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</si>
  <si>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</si>
  <si>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</si>
  <si>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</si>
  <si>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</si>
  <si>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</si>
  <si>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</si>
  <si>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</si>
  <si>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</si>
  <si>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</si>
  <si>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</si>
  <si>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</si>
  <si>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</si>
  <si>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</si>
  <si>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</si>
  <si>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</si>
  <si>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</si>
  <si>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</si>
  <si>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</si>
  <si>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</si>
  <si>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</si>
  <si>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</si>
  <si>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</si>
  <si>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</si>
  <si>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</si>
  <si>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</si>
  <si>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</si>
  <si>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</si>
  <si>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</si>
  <si>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</si>
  <si>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</si>
  <si>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</si>
  <si>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</si>
  <si>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</si>
  <si>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</si>
  <si>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</si>
  <si>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</si>
  <si>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</si>
  <si>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</si>
  <si>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</si>
  <si>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</si>
  <si>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</si>
  <si>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</si>
  <si>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</si>
  <si>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</si>
  <si>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</si>
  <si>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</si>
  <si>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</si>
  <si>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</si>
  <si>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</si>
  <si>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</si>
  <si>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</si>
  <si>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</si>
  <si>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</si>
  <si>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</si>
  <si>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</si>
  <si>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</si>
  <si>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</si>
  <si>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</si>
  <si>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</si>
  <si>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</si>
  <si>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</si>
  <si>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</si>
  <si>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</si>
  <si>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</si>
  <si>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</si>
  <si>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</si>
  <si>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</si>
  <si>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</si>
  <si>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</si>
  <si>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</si>
  <si>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</si>
  <si>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</si>
  <si>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</si>
  <si>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</si>
  <si>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</si>
  <si>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</si>
  <si>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</si>
  <si>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</si>
  <si>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</si>
  <si>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</si>
  <si>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</si>
  <si>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</si>
  <si>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</si>
  <si>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</si>
  <si>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</si>
  <si>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</si>
  <si>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</si>
  <si>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</si>
  <si>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</si>
  <si>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</si>
  <si>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</si>
  <si>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</si>
  <si>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</si>
  <si>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</si>
  <si>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</si>
  <si>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</si>
  <si>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</si>
  <si>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</si>
  <si>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</si>
  <si>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</si>
  <si>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</si>
  <si>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</si>
  <si>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</si>
  <si>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</si>
  <si>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</si>
  <si>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</si>
  <si>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</si>
  <si>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</si>
  <si>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</si>
  <si>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</si>
  <si>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</si>
  <si>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</si>
  <si>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</si>
  <si>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</si>
  <si>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</si>
  <si>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</si>
  <si>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</si>
  <si>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</si>
  <si>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</si>
  <si>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</si>
  <si>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</si>
  <si>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</si>
  <si>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</si>
  <si>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</si>
  <si>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</si>
  <si>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</si>
  <si>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</si>
  <si>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</si>
  <si>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</si>
  <si>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</si>
  <si>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</si>
  <si>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</si>
  <si>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</si>
  <si>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</si>
  <si>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</si>
  <si>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</si>
  <si>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</si>
  <si>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</si>
  <si>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</si>
  <si>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</si>
  <si>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</si>
  <si>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</si>
  <si>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</si>
  <si>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</si>
  <si>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</si>
  <si>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</si>
  <si>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</si>
  <si>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</si>
  <si>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</si>
  <si>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</si>
  <si>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</si>
  <si>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</si>
  <si>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</si>
  <si>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</si>
  <si>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</si>
  <si>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</si>
  <si>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</si>
  <si>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</si>
  <si>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</si>
  <si>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</si>
  <si>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</si>
  <si>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</si>
  <si>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</si>
  <si>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</si>
  <si>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</si>
  <si>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</si>
  <si>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</si>
  <si>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</si>
  <si>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</si>
  <si>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</si>
  <si>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</si>
  <si>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</si>
  <si>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</si>
  <si>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</si>
  <si>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</si>
  <si>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</si>
  <si>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</si>
  <si>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</si>
  <si>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</si>
  <si>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</si>
  <si>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</si>
  <si>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</si>
  <si>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</si>
  <si>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</si>
  <si>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</si>
  <si>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</si>
  <si>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</si>
  <si>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</si>
  <si>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</si>
  <si>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</si>
  <si>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</si>
  <si>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</si>
  <si>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</si>
  <si>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</si>
  <si>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</si>
  <si>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</si>
  <si>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</si>
  <si>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</si>
  <si>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</si>
  <si>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</si>
  <si>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</si>
  <si>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</si>
  <si>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</si>
  <si>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</si>
  <si>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</si>
  <si>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</si>
  <si>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</si>
  <si>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</si>
  <si>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</si>
  <si>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</si>
  <si>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</si>
  <si>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</si>
  <si>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</si>
  <si>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</si>
  <si>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</si>
  <si>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</si>
  <si>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</si>
  <si>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</si>
  <si>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</si>
  <si>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</si>
  <si>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</si>
  <si>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</si>
  <si>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</si>
  <si>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</si>
  <si>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</si>
  <si>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</si>
  <si>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</si>
  <si>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</si>
  <si>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</si>
  <si>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</si>
  <si>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</si>
  <si>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</si>
  <si>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</si>
  <si>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</si>
  <si>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</si>
  <si>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</si>
  <si>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</si>
  <si>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</si>
  <si>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</si>
  <si>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</si>
  <si>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</si>
  <si>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</si>
  <si>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</si>
  <si>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</si>
  <si>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</si>
  <si>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</si>
  <si>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</si>
  <si>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</si>
  <si>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</si>
  <si>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</si>
  <si>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</si>
  <si>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</si>
  <si>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</si>
  <si>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</si>
  <si>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</si>
  <si>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</si>
  <si>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</si>
  <si>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</si>
  <si>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</si>
  <si>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</si>
  <si>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</si>
  <si>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</si>
  <si>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</si>
  <si>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</si>
  <si>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</si>
  <si>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</si>
  <si>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</si>
  <si>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</si>
  <si>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</si>
  <si>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</si>
  <si>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</si>
  <si>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</si>
  <si>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</si>
  <si>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</si>
  <si>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</si>
  <si>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</si>
  <si>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</si>
  <si>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</si>
  <si>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</si>
  <si>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</si>
  <si>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</si>
  <si>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</si>
  <si>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</si>
  <si>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</si>
  <si>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</si>
  <si>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</si>
  <si>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</si>
  <si>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</si>
  <si>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</si>
  <si>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</si>
  <si>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</si>
  <si>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</si>
  <si>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</si>
  <si>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</si>
  <si>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</si>
  <si>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</si>
  <si>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</si>
  <si>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</si>
  <si>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</si>
  <si>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</si>
  <si>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</si>
  <si>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</si>
  <si>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</si>
  <si>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</si>
  <si>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</si>
  <si>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</si>
  <si>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</si>
  <si>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</si>
  <si>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</si>
  <si>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</si>
  <si>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</si>
  <si>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</si>
  <si>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</si>
  <si>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</si>
  <si>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</si>
  <si>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</si>
  <si>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</si>
  <si>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</si>
  <si>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</si>
  <si>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</si>
  <si>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</si>
  <si>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</si>
  <si>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</si>
  <si>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</si>
  <si>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</si>
  <si>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</si>
  <si>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</si>
  <si>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</si>
  <si>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</si>
  <si>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</si>
  <si>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</si>
  <si>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</si>
  <si>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</si>
  <si>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</si>
  <si>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</si>
  <si>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</si>
  <si>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</si>
  <si>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</si>
  <si>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</si>
  <si>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</si>
  <si>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</si>
  <si>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</si>
  <si>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</si>
  <si>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</si>
  <si>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</si>
  <si>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</si>
  <si>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</si>
  <si>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</si>
  <si>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</si>
  <si>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</si>
  <si>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</si>
  <si>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</si>
  <si>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</si>
  <si>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</si>
  <si>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</si>
  <si>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</si>
  <si>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</si>
  <si>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</si>
  <si>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</si>
  <si>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</si>
  <si>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</si>
  <si>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</si>
  <si>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</si>
  <si>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</si>
  <si>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</si>
  <si>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</si>
  <si>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</si>
  <si>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골드 획득량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</si>
  <si>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</si>
  <si>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</si>
  <si>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</si>
  <si>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</si>
  <si>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</si>
  <si>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</si>
  <si>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</si>
  <si>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</si>
  <si>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</si>
  <si>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</si>
  <si>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</si>
  <si>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</si>
  <si>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</si>
  <si>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</si>
  <si>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</si>
  <si>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</si>
  <si>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</si>
  <si>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</si>
  <si>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</si>
  <si>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</si>
  <si>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</si>
  <si>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</si>
  <si>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</si>
  <si>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</si>
  <si>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</si>
  <si>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</si>
  <si>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</si>
  <si>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</si>
  <si>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</si>
  <si>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</si>
  <si>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</si>
  <si>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</si>
  <si>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</si>
  <si>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</si>
  <si>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</si>
  <si>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</si>
  <si>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</si>
  <si>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</si>
  <si>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</si>
  <si>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</si>
  <si>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</si>
  <si>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</si>
  <si>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</si>
  <si>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</si>
  <si>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</si>
  <si>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</si>
  <si>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</si>
  <si>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</si>
  <si>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</si>
  <si>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</si>
  <si>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</si>
  <si>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</si>
  <si>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</si>
  <si>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</si>
  <si>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</si>
  <si>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</si>
  <si>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</si>
  <si>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</si>
  <si>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</si>
  <si>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</si>
  <si>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</si>
  <si>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</si>
  <si>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</si>
  <si>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</si>
  <si>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</si>
  <si>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</si>
  <si>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</si>
  <si>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</si>
  <si>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</si>
  <si>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</si>
  <si>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</si>
  <si>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</si>
  <si>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</si>
  <si>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</si>
  <si>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</si>
  <si>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</si>
  <si>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</si>
  <si>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</si>
  <si>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</si>
  <si>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</si>
  <si>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</si>
  <si>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</si>
  <si>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</si>
  <si>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</si>
  <si>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</si>
  <si>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</si>
  <si>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</si>
  <si>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</si>
  <si>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</si>
  <si>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</si>
  <si>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</si>
  <si>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</si>
  <si>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</si>
  <si>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</si>
  <si>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</si>
  <si>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</si>
  <si>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</si>
  <si>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</si>
  <si>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</si>
  <si>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</si>
  <si>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</si>
  <si>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</si>
  <si>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</si>
  <si>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</si>
  <si>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</si>
  <si>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</si>
  <si>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</si>
  <si>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</si>
  <si>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</si>
  <si>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</si>
  <si>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</si>
  <si>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</si>
  <si>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</si>
  <si>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</si>
  <si>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</si>
  <si>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</si>
  <si>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</si>
  <si>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</si>
  <si>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</si>
  <si>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</si>
  <si>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</si>
  <si>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</si>
  <si>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</si>
  <si>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</si>
  <si>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</si>
  <si>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</si>
  <si>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</si>
  <si>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</si>
  <si>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</si>
  <si>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</si>
  <si>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</si>
  <si>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</si>
  <si>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</si>
  <si>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</si>
  <si>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</si>
  <si>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</si>
  <si>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</si>
  <si>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</si>
  <si>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</si>
  <si>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</si>
  <si>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</si>
  <si>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</si>
  <si>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</si>
  <si>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</si>
  <si>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</si>
  <si>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</si>
  <si>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</si>
  <si>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</si>
  <si>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</si>
  <si>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</si>
  <si>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</si>
  <si>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</si>
  <si>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</si>
  <si>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</si>
  <si>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</si>
  <si>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</si>
  <si>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</si>
  <si>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</si>
  <si>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</si>
  <si>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</si>
  <si>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</si>
  <si>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</si>
  <si>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</si>
  <si>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</si>
  <si>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</si>
  <si>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</si>
  <si>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</si>
  <si>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</si>
  <si>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</si>
  <si>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</si>
  <si>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</si>
  <si>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</si>
  <si>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</si>
  <si>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</si>
  <si>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</si>
  <si>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</si>
  <si>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</si>
  <si>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</si>
  <si>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</si>
  <si>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</si>
  <si>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</si>
  <si>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</si>
  <si>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</si>
  <si>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</si>
  <si>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</si>
  <si>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</si>
  <si>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</si>
  <si>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</si>
  <si>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</si>
  <si>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</si>
  <si>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</si>
  <si>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</si>
  <si>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</si>
  <si>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</si>
  <si>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</si>
  <si>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</si>
  <si>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</si>
  <si>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</si>
  <si>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</si>
  <si>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</si>
  <si>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</si>
  <si>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</si>
  <si>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</si>
  <si>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</si>
  <si>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</si>
  <si>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</si>
  <si>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</si>
  <si>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</si>
  <si>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</si>
  <si>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</si>
  <si>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</si>
  <si>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</si>
  <si>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</si>
  <si>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</si>
  <si>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</si>
  <si>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</si>
  <si>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</si>
  <si>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</si>
  <si>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</si>
  <si>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</si>
  <si>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</si>
  <si>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</si>
  <si>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</si>
  <si>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</si>
  <si>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</si>
  <si>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</si>
  <si>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</si>
  <si>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</si>
  <si>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</si>
  <si>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</si>
  <si>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</si>
  <si>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</si>
  <si>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</si>
  <si>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</si>
  <si>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</si>
  <si>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</si>
  <si>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</si>
  <si>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</si>
  <si>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</si>
  <si>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</si>
  <si>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</si>
  <si>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</si>
  <si>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</si>
  <si>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</si>
  <si>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</si>
  <si>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</si>
  <si>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</si>
  <si>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</si>
  <si>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</si>
  <si>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</si>
  <si>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</si>
  <si>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</si>
  <si>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</si>
  <si>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</si>
  <si>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</si>
  <si>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</si>
  <si>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</si>
  <si>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</si>
  <si>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</si>
  <si>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</si>
  <si>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</si>
  <si>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</si>
  <si>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</si>
  <si>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</si>
  <si>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</si>
  <si>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</si>
  <si>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</si>
  <si>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</si>
  <si>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</si>
  <si>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</si>
  <si>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</si>
  <si>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</si>
  <si>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</si>
  <si>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</si>
  <si>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</si>
  <si>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</si>
  <si>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</si>
  <si>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</si>
  <si>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</si>
  <si>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</si>
  <si>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</si>
  <si>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</si>
  <si>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</si>
  <si>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</si>
  <si>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</si>
  <si>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</si>
  <si>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</si>
  <si>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</si>
  <si>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</si>
  <si>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</si>
  <si>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</si>
  <si>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</si>
  <si>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</si>
  <si>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</si>
  <si>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</si>
  <si>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</si>
  <si>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</si>
  <si>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</si>
  <si>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</si>
  <si>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</si>
  <si>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</si>
  <si>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</si>
  <si>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</si>
  <si>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</si>
  <si>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</si>
  <si>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</si>
  <si>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</si>
  <si>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</si>
  <si>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</si>
  <si>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</si>
  <si>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</si>
  <si>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</si>
  <si>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</si>
  <si>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</si>
  <si>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</si>
  <si>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</si>
  <si>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</si>
  <si>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</si>
  <si>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</si>
  <si>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</si>
  <si>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</si>
  <si>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</si>
  <si>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</si>
  <si>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</si>
  <si>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</si>
  <si>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</si>
  <si>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</si>
  <si>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</si>
  <si>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</si>
  <si>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</si>
  <si>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</si>
  <si>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</si>
  <si>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</si>
  <si>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</si>
  <si>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</si>
  <si>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</si>
  <si>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</si>
  <si>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</si>
  <si>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</si>
  <si>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</si>
  <si>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</si>
  <si>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</si>
  <si>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</si>
  <si>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</si>
  <si>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</si>
  <si>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</si>
  <si>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</si>
  <si>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</si>
  <si>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</si>
  <si>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</si>
  <si>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</si>
  <si>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</si>
  <si>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</si>
  <si>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</si>
  <si>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</si>
  <si>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</si>
  <si>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</si>
  <si>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</si>
  <si>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</si>
  <si>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</si>
  <si>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</si>
  <si>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</si>
  <si>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</si>
  <si>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</si>
  <si>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</si>
  <si>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</si>
  <si>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</si>
  <si>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</si>
  <si>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</si>
  <si>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</si>
  <si>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</si>
  <si>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</si>
  <si>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</si>
  <si>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</si>
  <si>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</si>
  <si>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</si>
  <si>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</si>
  <si>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</si>
  <si>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</si>
  <si>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</si>
  <si>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</si>
  <si>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</si>
  <si>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</si>
  <si>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</si>
  <si>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</si>
  <si>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</si>
  <si>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</si>
  <si>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</si>
  <si>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</si>
  <si>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</si>
  <si>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</si>
  <si>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</si>
  <si>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</si>
  <si>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</si>
  <si>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</si>
  <si>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</si>
  <si>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</si>
  <si>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</si>
  <si>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</si>
  <si>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</si>
  <si>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</si>
  <si>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</si>
  <si>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</si>
  <si>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</si>
  <si>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</si>
  <si>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</si>
  <si>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</si>
  <si>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</si>
  <si>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</si>
  <si>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</si>
  <si>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</si>
  <si>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</si>
  <si>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</si>
  <si>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</si>
  <si>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</si>
  <si>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</si>
  <si>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</si>
  <si>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</si>
  <si>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</si>
  <si>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</si>
  <si>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</si>
  <si>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</si>
  <si>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</si>
  <si>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</si>
  <si>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</si>
  <si>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</si>
  <si>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</si>
  <si>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</si>
  <si>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</si>
  <si>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</si>
  <si>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</si>
  <si>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</si>
  <si>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</si>
  <si>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</si>
  <si>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</si>
  <si>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</si>
  <si>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</si>
  <si>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</si>
  <si>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</si>
  <si>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</si>
  <si>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</si>
  <si>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</si>
  <si>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</si>
  <si>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</si>
  <si>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</si>
  <si>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</si>
  <si>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</si>
  <si>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</si>
  <si>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</si>
  <si>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</si>
  <si>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</si>
  <si>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</si>
  <si>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</si>
  <si>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</si>
  <si>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</si>
  <si>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</si>
  <si>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</si>
  <si>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</si>
  <si>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</si>
  <si>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</si>
  <si>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</si>
  <si>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</si>
  <si>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</si>
  <si>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</si>
  <si>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</si>
  <si>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</si>
  <si>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</si>
  <si>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</si>
  <si>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</si>
  <si>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</si>
  <si>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</si>
  <si>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</si>
  <si>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</si>
  <si>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</si>
  <si>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</si>
  <si>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</si>
  <si>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</si>
  <si>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</si>
  <si>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</si>
  <si>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</si>
  <si>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</si>
  <si>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</si>
  <si>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</si>
  <si>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</si>
  <si>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</si>
  <si>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</si>
  <si>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</si>
  <si>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</si>
  <si>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</si>
  <si>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</si>
  <si>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</si>
  <si>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</si>
  <si>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</si>
  <si>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</si>
  <si>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</si>
  <si>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</si>
  <si>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</si>
  <si>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</si>
  <si>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</si>
  <si>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</si>
  <si>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</si>
  <si>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</si>
  <si>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</si>
  <si>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</si>
  <si>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</si>
  <si>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</si>
  <si>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</si>
  <si>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</si>
  <si>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</si>
  <si>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</si>
  <si>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</si>
  <si>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</si>
  <si>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</si>
  <si>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</si>
  <si>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</si>
  <si>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</si>
  <si>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</si>
  <si>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</si>
  <si>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</si>
  <si>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</si>
  <si>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</si>
  <si>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</si>
  <si>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</si>
  <si>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</si>
  <si>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</si>
  <si>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</si>
  <si>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</si>
  <si>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</si>
  <si>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</si>
  <si>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</si>
  <si>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</si>
  <si>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</si>
  <si>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</si>
  <si>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</si>
  <si>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</si>
  <si>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</si>
  <si>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</si>
  <si>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</si>
  <si>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</si>
  <si>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</si>
  <si>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</si>
  <si>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</si>
  <si>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</si>
  <si>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</si>
  <si>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</si>
  <si>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</si>
  <si>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</si>
  <si>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</si>
  <si>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</si>
  <si>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</si>
  <si>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</si>
  <si>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</si>
  <si>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</si>
  <si>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</si>
  <si>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</si>
  <si>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</si>
  <si>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</si>
  <si>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</si>
  <si>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</si>
  <si>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</si>
  <si>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</si>
  <si>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</si>
  <si>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</si>
  <si>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</si>
  <si>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</si>
  <si>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</si>
  <si>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</si>
  <si>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</si>
  <si>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</si>
  <si>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</si>
  <si>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</si>
  <si>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</si>
  <si>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</si>
  <si>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</si>
  <si>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</si>
  <si>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</si>
  <si>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</si>
  <si>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</si>
  <si>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</si>
  <si>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</si>
  <si>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</si>
  <si>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</si>
  <si>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</si>
  <si>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</si>
  <si>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</si>
  <si>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</si>
  <si>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</si>
  <si>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</si>
  <si>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</si>
  <si>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</si>
  <si>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</si>
  <si>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</si>
  <si>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</si>
  <si>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</si>
  <si>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</si>
  <si>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</si>
  <si>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</si>
  <si>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</si>
  <si>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</si>
  <si>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</si>
  <si>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</si>
  <si>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</si>
  <si>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</si>
  <si>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</si>
  <si>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</si>
  <si>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</si>
  <si>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</si>
  <si>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</si>
  <si>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</si>
  <si>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</si>
  <si>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</si>
  <si>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</si>
  <si>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</si>
  <si>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</si>
  <si>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</si>
  <si>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</si>
  <si>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</si>
  <si>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</si>
  <si>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</si>
  <si>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</si>
  <si>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</si>
  <si>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</si>
  <si>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</si>
  <si>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</si>
  <si>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</si>
  <si>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</si>
  <si>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</si>
  <si>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</si>
  <si>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</si>
  <si>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</si>
  <si>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</si>
  <si>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</si>
  <si>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</si>
  <si>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</si>
  <si>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</si>
  <si>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</si>
  <si>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</si>
  <si>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</si>
  <si>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</si>
  <si>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</si>
  <si>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</si>
  <si>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</si>
  <si>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</si>
  <si>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</si>
  <si>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</si>
  <si>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</si>
  <si>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</si>
  <si>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</si>
  <si>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</si>
  <si>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</si>
  <si>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</si>
  <si>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</si>
  <si>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</si>
  <si>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</si>
  <si>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</si>
  <si>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</si>
  <si>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</si>
  <si>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</si>
  <si>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</si>
  <si>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</si>
  <si>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</si>
  <si>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</si>
  <si>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</si>
  <si>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</si>
  <si>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</si>
  <si>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</si>
  <si>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</si>
  <si>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</si>
  <si>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</si>
  <si>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</si>
  <si>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</si>
  <si>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</si>
  <si>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</si>
  <si>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</si>
  <si>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</si>
  <si>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</si>
  <si>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</si>
  <si>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Card_Cross_Chisel_Name</t>
    <phoneticPr fontId="2" type="noConversion"/>
  </si>
  <si>
    <t>Card_Cross_Chisel_Des</t>
    <phoneticPr fontId="2" type="noConversion"/>
  </si>
  <si>
    <t>Card_Cross_Chisel_Enhanced_Des</t>
    <phoneticPr fontId="2" type="noConversion"/>
  </si>
  <si>
    <t>Card_Cross_Chisel_Enhanced_Name</t>
    <phoneticPr fontId="2" type="noConversion"/>
  </si>
  <si>
    <t>Card_Large_Scissors_Name</t>
    <phoneticPr fontId="2" type="noConversion"/>
  </si>
  <si>
    <t>Card_Large_Scissors_Enhanced_Name</t>
    <phoneticPr fontId="2" type="noConversion"/>
  </si>
  <si>
    <t>Card_Large_Scissors_Des</t>
    <phoneticPr fontId="2" type="noConversion"/>
  </si>
  <si>
    <t>Card_Large_Scissors_Enhanced_Des</t>
    <phoneticPr fontId="2" type="noConversion"/>
  </si>
  <si>
    <t>Card_Slingshot</t>
    <phoneticPr fontId="2" type="noConversion"/>
  </si>
  <si>
    <t>Card_Slingshot_Enhanced</t>
    <phoneticPr fontId="2" type="noConversion"/>
  </si>
  <si>
    <t>relic102</t>
    <phoneticPr fontId="2" type="noConversion"/>
  </si>
  <si>
    <t>강화 손잡이</t>
    <phoneticPr fontId="2" type="noConversion"/>
  </si>
  <si>
    <t>그레이트 소드</t>
    <phoneticPr fontId="2" type="noConversion"/>
  </si>
  <si>
    <t>그레이트 소드+</t>
    <phoneticPr fontId="2" type="noConversion"/>
  </si>
  <si>
    <t>Card_Illust_101</t>
    <phoneticPr fontId="2" type="noConversion"/>
  </si>
  <si>
    <t>Card_Dummy_Effect_201</t>
    <phoneticPr fontId="2" type="noConversion"/>
  </si>
  <si>
    <t>Card_Dummy_Effect_300</t>
    <phoneticPr fontId="2" type="noConversion"/>
  </si>
  <si>
    <t>Card_Dummy_Effect_301</t>
    <phoneticPr fontId="2" type="noConversion"/>
  </si>
  <si>
    <t>Card_Dummy_Effect_200</t>
    <phoneticPr fontId="2" type="noConversion"/>
  </si>
  <si>
    <t>Card_Dummy_Effect_100</t>
    <phoneticPr fontId="2" type="noConversion"/>
  </si>
  <si>
    <t>Card_Dummy_Effect_400</t>
    <phoneticPr fontId="2" type="noConversion"/>
  </si>
  <si>
    <t>Card_Dummy_Effect_401</t>
    <phoneticPr fontId="2" type="noConversion"/>
  </si>
  <si>
    <t>Card_Dummy_Illust_101</t>
  </si>
  <si>
    <t>Card_Dummy_Illust_200</t>
  </si>
  <si>
    <t>Card_Dummy_Illust_201</t>
  </si>
  <si>
    <t>Card_Dummy_Illust_300</t>
  </si>
  <si>
    <t>Card_Dummy_Illust_301</t>
  </si>
  <si>
    <t>Card_Dummy_Illust_400</t>
  </si>
  <si>
    <t>Card_Dummy_Illust_401</t>
  </si>
  <si>
    <t>실버 스피어</t>
    <phoneticPr fontId="2" type="noConversion"/>
  </si>
  <si>
    <t>실버 스피어+</t>
    <phoneticPr fontId="2" type="noConversion"/>
  </si>
  <si>
    <t>스네이크 윕</t>
    <phoneticPr fontId="2" type="noConversion"/>
  </si>
  <si>
    <t>스네이크 윕+</t>
    <phoneticPr fontId="2" type="noConversion"/>
  </si>
  <si>
    <t>장궁</t>
    <phoneticPr fontId="2" type="noConversion"/>
  </si>
  <si>
    <t>장궁+</t>
    <phoneticPr fontId="2" type="noConversion"/>
  </si>
  <si>
    <t>Card_Dummy_100</t>
  </si>
  <si>
    <t>Card_Dummy_100_Name</t>
  </si>
  <si>
    <t>Card_Dummy_100_Des</t>
  </si>
  <si>
    <t>Card_Dummy_101</t>
  </si>
  <si>
    <t>Card_Dummy_101_Name</t>
  </si>
  <si>
    <t>Card_Dummy_101_Des</t>
  </si>
  <si>
    <t>Card_Dummy_200</t>
  </si>
  <si>
    <t>Card_Dummy_200_Name</t>
  </si>
  <si>
    <t>Card_Dummy_200_Des</t>
  </si>
  <si>
    <t>Card_Dummy_201</t>
  </si>
  <si>
    <t>Card_Dummy_201_Name</t>
  </si>
  <si>
    <t>Card_Dummy_201_Des</t>
  </si>
  <si>
    <t>Card_Dummy_300</t>
  </si>
  <si>
    <t>Card_Dummy_300_Name</t>
  </si>
  <si>
    <t>Card_Dummy_300_Des</t>
  </si>
  <si>
    <t>Card_Dummy_301</t>
  </si>
  <si>
    <t>Card_Dummy_301_Name</t>
  </si>
  <si>
    <t>Card_Dummy_301_Des</t>
  </si>
  <si>
    <t>Card_Dummy_400</t>
  </si>
  <si>
    <t>Card_Dummy_400_Name</t>
  </si>
  <si>
    <t>Card_Dummy_400_Des</t>
  </si>
  <si>
    <t>Card_Dummy_401</t>
  </si>
  <si>
    <t>Card_Dummy_Illust_100</t>
    <phoneticPr fontId="2" type="noConversion"/>
  </si>
  <si>
    <t>Card_Dummy_100</t>
    <phoneticPr fontId="2" type="noConversion"/>
  </si>
  <si>
    <t>Card_Dummy_101</t>
    <phoneticPr fontId="2" type="noConversion"/>
  </si>
  <si>
    <t>Card_Dummy_200</t>
    <phoneticPr fontId="2" type="noConversion"/>
  </si>
  <si>
    <t>Card_Dummy_201</t>
    <phoneticPr fontId="2" type="noConversion"/>
  </si>
  <si>
    <t>Card_Dummy_300</t>
    <phoneticPr fontId="2" type="noConversion"/>
  </si>
  <si>
    <t>Card_Dummy_301</t>
    <phoneticPr fontId="2" type="noConversion"/>
  </si>
  <si>
    <t>Card_Dummy_400</t>
    <phoneticPr fontId="2" type="noConversion"/>
  </si>
  <si>
    <t>Card_Dummy_401</t>
    <phoneticPr fontId="2" type="noConversion"/>
  </si>
  <si>
    <t>Card_Add_Type</t>
    <phoneticPr fontId="2" type="noConversion"/>
  </si>
  <si>
    <t>card add type 정리</t>
    <phoneticPr fontId="2" type="noConversion"/>
  </si>
  <si>
    <t>효과명</t>
    <phoneticPr fontId="2" type="noConversion"/>
  </si>
  <si>
    <t>value_1</t>
    <phoneticPr fontId="2" type="noConversion"/>
  </si>
  <si>
    <t>value_2</t>
    <phoneticPr fontId="2" type="noConversion"/>
  </si>
  <si>
    <t>value_3</t>
    <phoneticPr fontId="2" type="noConversion"/>
  </si>
  <si>
    <t>card add type</t>
    <phoneticPr fontId="2" type="noConversion"/>
  </si>
  <si>
    <t>랜덤 일반 타일 타격</t>
    <phoneticPr fontId="2" type="noConversion"/>
  </si>
  <si>
    <t>횟수(정수)</t>
    <phoneticPr fontId="2" type="noConversion"/>
  </si>
  <si>
    <t>확률(만분율)</t>
    <phoneticPr fontId="2" type="noConversion"/>
  </si>
  <si>
    <t>타격 지점 균열 부여</t>
    <phoneticPr fontId="2" type="noConversion"/>
  </si>
  <si>
    <t>암흑 타일 밝힘</t>
    <phoneticPr fontId="2" type="noConversion"/>
  </si>
  <si>
    <t>도움 타일 타격 시 골드 획득</t>
    <phoneticPr fontId="2" type="noConversion"/>
  </si>
  <si>
    <t>방해 타일 타격 시 골드 획득</t>
    <phoneticPr fontId="2" type="noConversion"/>
  </si>
  <si>
    <t>방해 타일 타입(인덱스)</t>
    <phoneticPr fontId="2" type="noConversion"/>
  </si>
  <si>
    <t>잔상 타일 타격 시 무작위 타일 파괴</t>
    <phoneticPr fontId="2" type="noConversion"/>
  </si>
  <si>
    <t>파괴 칸 수 (정수)</t>
    <phoneticPr fontId="2" type="noConversion"/>
  </si>
  <si>
    <t>타일 (value_1) 파괴 시 타격된 모든 타일 파괴</t>
    <phoneticPr fontId="2" type="noConversion"/>
  </si>
  <si>
    <t>파괴 된 칸 수 (정수)</t>
    <phoneticPr fontId="2" type="noConversion"/>
  </si>
  <si>
    <t>균열 타일 파괴 시 골드 획득</t>
    <phoneticPr fontId="2" type="noConversion"/>
  </si>
  <si>
    <t>도움 타일 파괴 시 골드 획득</t>
    <phoneticPr fontId="2" type="noConversion"/>
  </si>
  <si>
    <t>방해 타일 파괴 시 골드 획득</t>
    <phoneticPr fontId="2" type="noConversion"/>
  </si>
  <si>
    <t>타일 n(value_1) 파괴 시 특정 태그(value_2) 카드 m(value_3)장 드로우</t>
    <phoneticPr fontId="2" type="noConversion"/>
  </si>
  <si>
    <t>태그 아이디 (인덱스)</t>
    <phoneticPr fontId="2" type="noConversion"/>
  </si>
  <si>
    <t>드로우 장 수(정수)</t>
    <phoneticPr fontId="2" type="noConversion"/>
  </si>
  <si>
    <t>타일 n(value_1) 파괴 시 특정 방향(value_2) 일반 타일 전체 파괴</t>
    <phoneticPr fontId="2" type="noConversion"/>
  </si>
  <si>
    <t>방향 아이디(인덱스)</t>
    <phoneticPr fontId="2" type="noConversion"/>
  </si>
  <si>
    <t>특정 방해 타일 타격 가능</t>
    <phoneticPr fontId="2" type="noConversion"/>
  </si>
  <si>
    <t>방해 타일 타입</t>
    <phoneticPr fontId="2" type="noConversion"/>
  </si>
  <si>
    <t>혼돈 타일</t>
    <phoneticPr fontId="2" type="noConversion"/>
  </si>
  <si>
    <t>카드 태그 아이디</t>
    <phoneticPr fontId="2" type="noConversion"/>
  </si>
  <si>
    <t>무기</t>
  </si>
  <si>
    <t>화염</t>
  </si>
  <si>
    <t>얼음</t>
  </si>
  <si>
    <t>전기</t>
  </si>
  <si>
    <t>마나</t>
  </si>
  <si>
    <t>마법</t>
  </si>
  <si>
    <t>방향 아이디</t>
    <phoneticPr fontId="2" type="noConversion"/>
  </si>
  <si>
    <t>가로 (↔)</t>
    <phoneticPr fontId="2" type="noConversion"/>
  </si>
  <si>
    <t>세로 (↕)</t>
    <phoneticPr fontId="2" type="noConversion"/>
  </si>
  <si>
    <t>가로 세로(↔↕)</t>
    <phoneticPr fontId="2" type="noConversion"/>
  </si>
  <si>
    <t>대각선a (↗↙)</t>
    <phoneticPr fontId="2" type="noConversion"/>
  </si>
  <si>
    <t>대각선b (↖↘)</t>
    <phoneticPr fontId="2" type="noConversion"/>
  </si>
  <si>
    <t>대각선(↗↙↖↘)</t>
    <phoneticPr fontId="2" type="noConversion"/>
  </si>
  <si>
    <t>전방향</t>
    <phoneticPr fontId="2" type="noConversion"/>
  </si>
  <si>
    <t>Card_Dummy_401_Name</t>
    <phoneticPr fontId="2" type="noConversion"/>
  </si>
  <si>
    <t>Card_Add_Test_1</t>
    <phoneticPr fontId="2" type="noConversion"/>
  </si>
  <si>
    <t>Card_Add_Test_1_Name</t>
    <phoneticPr fontId="2" type="noConversion"/>
  </si>
  <si>
    <t>Card_Dummy_401_Des</t>
    <phoneticPr fontId="2" type="noConversion"/>
  </si>
  <si>
    <t>Card_Add_Test_1_Name_Des</t>
    <phoneticPr fontId="2" type="noConversion"/>
  </si>
  <si>
    <t>Card_Add_Test_2</t>
  </si>
  <si>
    <t>Card_Add_Test_2_Name</t>
  </si>
  <si>
    <t>Card_Add_Test_2_Name_Des</t>
  </si>
  <si>
    <t>Card_Add_Test_3</t>
  </si>
  <si>
    <t>Card_Add_Test_3_Name</t>
  </si>
  <si>
    <t>Card_Add_Test_3_Name_Des</t>
  </si>
  <si>
    <t>Card_Add_Test_4</t>
  </si>
  <si>
    <t>Card_Add_Test_4_Name</t>
  </si>
  <si>
    <t>Card_Add_Test_4_Name_Des</t>
  </si>
  <si>
    <t>Card_Add_Test_5</t>
  </si>
  <si>
    <t>Card_Add_Test_5_Name</t>
  </si>
  <si>
    <t>Card_Add_Test_5_Name_Des</t>
  </si>
  <si>
    <t>Card_Add_Test_6</t>
  </si>
  <si>
    <t>Card_Add_Test_6_Name</t>
  </si>
  <si>
    <t>Card_Add_Test_6_Name_Des</t>
  </si>
  <si>
    <t>Card_Add_Test_7</t>
  </si>
  <si>
    <t>Card_Add_Test_7_Name</t>
  </si>
  <si>
    <t>Card_Add_Test_7_Name_Des</t>
  </si>
  <si>
    <t>Card_Add_Test_8</t>
  </si>
  <si>
    <t>Card_Add_Test_8_Name</t>
  </si>
  <si>
    <t>Card_Add_Test_8_Name_Des</t>
  </si>
  <si>
    <t>도움 타일 타격 시 골드 획득</t>
  </si>
  <si>
    <t>방해 타일 타격 시 골드 획득</t>
  </si>
  <si>
    <t>균열 타일 파괴 시 골드 획득</t>
  </si>
  <si>
    <t>도움 타일 파괴 시 골드 획득</t>
  </si>
  <si>
    <t>방해 타일 파괴 시 골드 획득</t>
  </si>
  <si>
    <t>타일 (value_1) 파괴 시 타격된 모든 타일 파괴</t>
  </si>
  <si>
    <t>타일 n(value_1) 파괴 시 특정 태그(value_2) 카드 m(value_3)장 드로우</t>
  </si>
  <si>
    <t>타일 n(value_1) 파괴 시 특정 방향(value_2) 일반 타일 전체 파괴</t>
  </si>
  <si>
    <t>특정 방해 타일 타격 가능</t>
  </si>
  <si>
    <t>타격 지점 균열 부여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</si>
</sst>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6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1" fillId="10" borderId="10" xfId="0" applyFont="1" applyFill="1" applyBorder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5" t="s">
        <v>0</v>
      </c>
      <c r="C2" s="36"/>
      <c r="D2" s="37"/>
      <c r="F2" s="3"/>
      <c r="G2" s="3"/>
      <c r="H2" s="3"/>
    </row>
    <row r="3" spans="2:8" x14ac:dyDescent="0.3">
      <c r="B3" s="38" t="s">
        <v>7</v>
      </c>
      <c r="C3" s="39"/>
      <c r="D3" s="40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51"/>
  <sheetViews>
    <sheetView topLeftCell="J10" workbookViewId="0">
      <selection activeCell="O57" sqref="O57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91</v>
      </c>
      <c r="B1" s="2" t="s">
        <v>69</v>
      </c>
      <c r="C1" s="2" t="s">
        <v>70</v>
      </c>
      <c r="D1" s="2" t="s">
        <v>71</v>
      </c>
      <c r="E1" s="14" t="s">
        <v>73</v>
      </c>
      <c r="F1" s="14" t="s">
        <v>74</v>
      </c>
      <c r="G1" s="2" t="s">
        <v>72</v>
      </c>
      <c r="H1" s="2" t="s">
        <v>78</v>
      </c>
      <c r="I1" s="2" t="s">
        <v>76</v>
      </c>
      <c r="J1" s="2" t="s">
        <v>75</v>
      </c>
      <c r="K1" s="2" t="s">
        <v>77</v>
      </c>
      <c r="L1" s="2" t="s">
        <v>79</v>
      </c>
      <c r="M1" s="20" t="s">
        <v>80</v>
      </c>
      <c r="N1" s="2" t="s">
        <v>311</v>
      </c>
      <c r="O1" s="2" t="s">
        <v>127</v>
      </c>
      <c r="P1" s="2" t="s">
        <v>128</v>
      </c>
      <c r="Q1" s="2" t="s">
        <v>129</v>
      </c>
      <c r="R1" s="2" t="s">
        <v>82</v>
      </c>
      <c r="S1" s="2" t="s">
        <v>83</v>
      </c>
      <c r="T1" s="23" t="s">
        <v>124</v>
      </c>
      <c r="U1" s="23" t="s">
        <v>81</v>
      </c>
      <c r="V1" s="12"/>
      <c r="X1" s="4"/>
      <c r="Y1" s="4"/>
      <c r="Z1" s="4"/>
    </row>
    <row r="2" spans="1:33" x14ac:dyDescent="0.3">
      <c r="A2" s="6">
        <v>101</v>
      </c>
      <c r="B2" s="6" t="s">
        <v>139</v>
      </c>
      <c r="C2" s="6" t="s">
        <v>191</v>
      </c>
      <c r="D2" s="6" t="s">
        <v>214</v>
      </c>
      <c r="E2" s="15" t="s">
        <v>142</v>
      </c>
      <c r="F2" s="15">
        <v>0</v>
      </c>
      <c r="G2" s="6">
        <v>1</v>
      </c>
      <c r="H2" s="6">
        <v>2</v>
      </c>
      <c r="I2" s="6">
        <v>1</v>
      </c>
      <c r="J2" s="6" t="s">
        <v>166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334</v>
      </c>
      <c r="U2" s="24" t="s">
        <v>1064</v>
      </c>
      <c r="X2" s="38" t="s">
        <v>84</v>
      </c>
      <c r="Y2" s="39"/>
      <c r="Z2" s="40"/>
    </row>
    <row r="3" spans="1:33" x14ac:dyDescent="0.3">
      <c r="A3" s="6">
        <v>102</v>
      </c>
      <c r="B3" s="6" t="s">
        <v>140</v>
      </c>
      <c r="C3" s="6" t="s">
        <v>192</v>
      </c>
      <c r="D3" s="6" t="s">
        <v>215</v>
      </c>
      <c r="E3" s="15" t="s">
        <v>143</v>
      </c>
      <c r="F3" s="15">
        <v>0</v>
      </c>
      <c r="G3" s="6">
        <v>1</v>
      </c>
      <c r="H3" s="6">
        <v>2</v>
      </c>
      <c r="I3" s="6">
        <v>1</v>
      </c>
      <c r="J3" s="6" t="s">
        <v>167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304</v>
      </c>
      <c r="U3" s="24" t="s">
        <v>301</v>
      </c>
      <c r="X3" s="2" t="s">
        <v>85</v>
      </c>
      <c r="Y3" s="2" t="s">
        <v>86</v>
      </c>
      <c r="Z3" s="2" t="s">
        <v>87</v>
      </c>
      <c r="AB3" s="38" t="s">
        <v>72</v>
      </c>
      <c r="AC3" s="41"/>
      <c r="AD3" s="11"/>
      <c r="AE3" s="42" t="s">
        <v>108</v>
      </c>
      <c r="AF3" s="42"/>
      <c r="AG3" s="42"/>
    </row>
    <row r="4" spans="1:33" x14ac:dyDescent="0.3">
      <c r="A4" s="6">
        <v>103</v>
      </c>
      <c r="B4" s="6" t="s">
        <v>409</v>
      </c>
      <c r="C4" s="6" t="s">
        <v>193</v>
      </c>
      <c r="D4" s="6" t="s">
        <v>216</v>
      </c>
      <c r="E4" s="15" t="s">
        <v>144</v>
      </c>
      <c r="F4" s="15">
        <v>0</v>
      </c>
      <c r="G4" s="6">
        <v>1</v>
      </c>
      <c r="H4" s="6">
        <v>2</v>
      </c>
      <c r="I4" s="6">
        <v>2</v>
      </c>
      <c r="J4" s="6" t="s">
        <v>139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303</v>
      </c>
      <c r="U4" s="24" t="s">
        <v>951</v>
      </c>
      <c r="X4" s="2" t="s">
        <v>91</v>
      </c>
      <c r="Y4" s="6" t="s">
        <v>92</v>
      </c>
      <c r="Z4" s="6" t="s">
        <v>88</v>
      </c>
      <c r="AB4" s="6">
        <v>1</v>
      </c>
      <c r="AC4" s="6" t="s">
        <v>98</v>
      </c>
      <c r="AE4" s="43" t="s">
        <v>76</v>
      </c>
      <c r="AF4" s="44"/>
      <c r="AG4" s="9" t="s">
        <v>75</v>
      </c>
    </row>
    <row r="5" spans="1:33" x14ac:dyDescent="0.3">
      <c r="A5" s="6">
        <v>104</v>
      </c>
      <c r="B5" s="6" t="s">
        <v>408</v>
      </c>
      <c r="C5" s="6" t="s">
        <v>194</v>
      </c>
      <c r="D5" s="6" t="s">
        <v>217</v>
      </c>
      <c r="E5" s="15" t="s">
        <v>145</v>
      </c>
      <c r="F5" s="15">
        <v>0</v>
      </c>
      <c r="G5" s="6">
        <v>1</v>
      </c>
      <c r="H5" s="6">
        <v>2</v>
      </c>
      <c r="I5" s="6">
        <v>2</v>
      </c>
      <c r="J5" s="6" t="s">
        <v>140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0</v>
      </c>
      <c r="P5" s="6">
        <v>0</v>
      </c>
      <c r="Q5" s="6">
        <v>0</v>
      </c>
      <c r="R5" s="22">
        <v>0</v>
      </c>
      <c r="S5" s="22">
        <v>0</v>
      </c>
      <c r="T5" s="24" t="s">
        <v>304</v>
      </c>
      <c r="U5" s="24" t="s">
        <v>952</v>
      </c>
      <c r="X5" s="2" t="s">
        <v>69</v>
      </c>
      <c r="Y5" s="6" t="s">
        <v>90</v>
      </c>
      <c r="Z5" s="6" t="s">
        <v>88</v>
      </c>
      <c r="AB5" s="6">
        <v>2</v>
      </c>
      <c r="AC5" s="6" t="s">
        <v>99</v>
      </c>
      <c r="AE5" s="10">
        <v>0</v>
      </c>
      <c r="AF5" s="10" t="s">
        <v>109</v>
      </c>
      <c r="AG5" s="10">
        <v>0</v>
      </c>
    </row>
    <row r="6" spans="1:33" x14ac:dyDescent="0.3">
      <c r="A6" s="6">
        <v>105</v>
      </c>
      <c r="B6" s="6" t="s">
        <v>410</v>
      </c>
      <c r="C6" s="6" t="s">
        <v>195</v>
      </c>
      <c r="D6" s="6" t="s">
        <v>218</v>
      </c>
      <c r="E6" s="15" t="s">
        <v>146</v>
      </c>
      <c r="F6" s="15">
        <v>0</v>
      </c>
      <c r="G6" s="6">
        <v>1</v>
      </c>
      <c r="H6" s="6">
        <v>2</v>
      </c>
      <c r="I6" s="6">
        <v>1</v>
      </c>
      <c r="J6" s="6" t="s">
        <v>169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0</v>
      </c>
      <c r="P6" s="6">
        <v>0</v>
      </c>
      <c r="Q6" s="6">
        <v>0</v>
      </c>
      <c r="R6" s="22">
        <v>0</v>
      </c>
      <c r="S6" s="22">
        <v>0</v>
      </c>
      <c r="T6" s="24" t="s">
        <v>303</v>
      </c>
      <c r="U6" s="24" t="s">
        <v>302</v>
      </c>
      <c r="X6" s="2" t="s">
        <v>70</v>
      </c>
      <c r="Y6" s="6" t="s">
        <v>89</v>
      </c>
      <c r="Z6" s="6" t="s">
        <v>88</v>
      </c>
      <c r="AE6" s="10">
        <v>1</v>
      </c>
      <c r="AF6" s="10" t="s">
        <v>111</v>
      </c>
      <c r="AG6" s="10" t="s">
        <v>112</v>
      </c>
    </row>
    <row r="7" spans="1:33" x14ac:dyDescent="0.3">
      <c r="A7" s="6">
        <v>106</v>
      </c>
      <c r="B7" s="6" t="s">
        <v>411</v>
      </c>
      <c r="C7" s="6" t="s">
        <v>196</v>
      </c>
      <c r="D7" s="6" t="s">
        <v>219</v>
      </c>
      <c r="E7" s="15" t="s">
        <v>147</v>
      </c>
      <c r="F7" s="15">
        <v>0</v>
      </c>
      <c r="G7" s="6">
        <v>1</v>
      </c>
      <c r="H7" s="6">
        <v>2</v>
      </c>
      <c r="I7" s="6">
        <v>2</v>
      </c>
      <c r="J7" s="6" t="s">
        <v>168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0</v>
      </c>
      <c r="P7" s="6">
        <v>0</v>
      </c>
      <c r="Q7" s="6">
        <v>0</v>
      </c>
      <c r="R7" s="22">
        <v>0</v>
      </c>
      <c r="S7" s="22">
        <v>0</v>
      </c>
      <c r="T7" s="24" t="s">
        <v>303</v>
      </c>
      <c r="U7" s="24" t="s">
        <v>953</v>
      </c>
      <c r="X7" s="2" t="s">
        <v>71</v>
      </c>
      <c r="Y7" s="6" t="s">
        <v>93</v>
      </c>
      <c r="Z7" s="6" t="s">
        <v>88</v>
      </c>
      <c r="AB7" s="38" t="s">
        <v>102</v>
      </c>
      <c r="AC7" s="41"/>
      <c r="AE7" s="10">
        <v>2</v>
      </c>
      <c r="AF7" s="10" t="s">
        <v>110</v>
      </c>
      <c r="AG7" s="10" t="s">
        <v>113</v>
      </c>
    </row>
    <row r="8" spans="1:33" x14ac:dyDescent="0.3">
      <c r="A8" s="6">
        <v>107</v>
      </c>
      <c r="B8" s="6" t="s">
        <v>412</v>
      </c>
      <c r="C8" s="6" t="s">
        <v>197</v>
      </c>
      <c r="D8" s="6" t="s">
        <v>220</v>
      </c>
      <c r="E8" s="15" t="s">
        <v>141</v>
      </c>
      <c r="F8" s="15">
        <v>0</v>
      </c>
      <c r="G8" s="6">
        <v>1</v>
      </c>
      <c r="H8" s="6">
        <v>2</v>
      </c>
      <c r="I8" s="6">
        <v>1</v>
      </c>
      <c r="J8" s="6" t="s">
        <v>171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305</v>
      </c>
      <c r="U8" s="24" t="s">
        <v>954</v>
      </c>
      <c r="X8" s="2" t="s">
        <v>73</v>
      </c>
      <c r="Y8" s="6" t="s">
        <v>94</v>
      </c>
      <c r="Z8" s="6" t="s">
        <v>96</v>
      </c>
      <c r="AB8" s="6">
        <v>1</v>
      </c>
      <c r="AC8" s="6" t="s">
        <v>103</v>
      </c>
    </row>
    <row r="9" spans="1:33" x14ac:dyDescent="0.3">
      <c r="A9" s="6">
        <v>108</v>
      </c>
      <c r="B9" s="6" t="s">
        <v>171</v>
      </c>
      <c r="C9" s="6" t="s">
        <v>198</v>
      </c>
      <c r="D9" s="6" t="s">
        <v>221</v>
      </c>
      <c r="E9" s="15" t="s">
        <v>148</v>
      </c>
      <c r="F9" s="15">
        <v>0</v>
      </c>
      <c r="G9" s="6">
        <v>1</v>
      </c>
      <c r="H9" s="6">
        <v>2</v>
      </c>
      <c r="I9" s="6">
        <v>2</v>
      </c>
      <c r="J9" s="6" t="s">
        <v>170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305</v>
      </c>
      <c r="U9" s="24" t="s">
        <v>955</v>
      </c>
      <c r="X9" s="2" t="s">
        <v>74</v>
      </c>
      <c r="Y9" s="6" t="s">
        <v>95</v>
      </c>
      <c r="Z9" s="6" t="s">
        <v>96</v>
      </c>
      <c r="AB9" s="6">
        <v>2</v>
      </c>
      <c r="AC9" s="6" t="s">
        <v>104</v>
      </c>
      <c r="AE9" s="38" t="s">
        <v>79</v>
      </c>
      <c r="AF9" s="41"/>
    </row>
    <row r="10" spans="1:33" x14ac:dyDescent="0.3">
      <c r="A10" s="6">
        <v>109</v>
      </c>
      <c r="B10" s="6" t="s">
        <v>413</v>
      </c>
      <c r="C10" s="6" t="s">
        <v>1050</v>
      </c>
      <c r="D10" s="6" t="s">
        <v>1051</v>
      </c>
      <c r="E10" s="15" t="s">
        <v>149</v>
      </c>
      <c r="F10" s="15">
        <v>0</v>
      </c>
      <c r="G10" s="6">
        <v>1</v>
      </c>
      <c r="H10" s="6">
        <v>2</v>
      </c>
      <c r="I10" s="6">
        <v>1</v>
      </c>
      <c r="J10" s="6" t="s">
        <v>173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306</v>
      </c>
      <c r="U10" s="24" t="s">
        <v>956</v>
      </c>
      <c r="X10" s="2" t="s">
        <v>72</v>
      </c>
      <c r="Y10" s="6" t="s">
        <v>97</v>
      </c>
      <c r="Z10" s="6" t="s">
        <v>100</v>
      </c>
      <c r="AB10" s="6">
        <v>3</v>
      </c>
      <c r="AC10" s="6" t="s">
        <v>105</v>
      </c>
      <c r="AE10" s="6">
        <v>1</v>
      </c>
      <c r="AF10" s="6" t="s">
        <v>104</v>
      </c>
    </row>
    <row r="11" spans="1:33" x14ac:dyDescent="0.3">
      <c r="A11" s="6">
        <v>110</v>
      </c>
      <c r="B11" s="6" t="s">
        <v>414</v>
      </c>
      <c r="C11" s="6" t="s">
        <v>1053</v>
      </c>
      <c r="D11" s="6" t="s">
        <v>1052</v>
      </c>
      <c r="E11" s="15" t="s">
        <v>150</v>
      </c>
      <c r="F11" s="15">
        <v>0</v>
      </c>
      <c r="G11" s="6">
        <v>1</v>
      </c>
      <c r="H11" s="6">
        <v>2</v>
      </c>
      <c r="I11" s="6">
        <v>2</v>
      </c>
      <c r="J11" s="6" t="s">
        <v>172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306</v>
      </c>
      <c r="U11" s="24" t="s">
        <v>957</v>
      </c>
      <c r="X11" s="2" t="s">
        <v>78</v>
      </c>
      <c r="Y11" s="6" t="s">
        <v>101</v>
      </c>
      <c r="Z11" s="6" t="s">
        <v>100</v>
      </c>
      <c r="AE11" s="6">
        <v>2</v>
      </c>
      <c r="AF11" s="6" t="s">
        <v>105</v>
      </c>
    </row>
    <row r="12" spans="1:33" x14ac:dyDescent="0.3">
      <c r="A12" s="6">
        <v>111</v>
      </c>
      <c r="B12" s="6" t="s">
        <v>174</v>
      </c>
      <c r="C12" s="6" t="s">
        <v>199</v>
      </c>
      <c r="D12" s="6" t="s">
        <v>222</v>
      </c>
      <c r="E12" s="15" t="s">
        <v>151</v>
      </c>
      <c r="F12" s="15">
        <v>0</v>
      </c>
      <c r="G12" s="6">
        <v>1</v>
      </c>
      <c r="H12" s="6">
        <v>2</v>
      </c>
      <c r="I12" s="6">
        <v>1</v>
      </c>
      <c r="J12" s="6" t="s">
        <v>175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307</v>
      </c>
      <c r="U12" s="24" t="s">
        <v>958</v>
      </c>
      <c r="X12" s="2" t="s">
        <v>76</v>
      </c>
      <c r="Y12" s="6" t="s">
        <v>106</v>
      </c>
      <c r="Z12" s="6" t="s">
        <v>100</v>
      </c>
      <c r="AB12" s="38" t="s">
        <v>77</v>
      </c>
      <c r="AC12" s="41"/>
      <c r="AE12" s="2">
        <v>3</v>
      </c>
      <c r="AF12" s="2" t="s">
        <v>103</v>
      </c>
    </row>
    <row r="13" spans="1:33" x14ac:dyDescent="0.3">
      <c r="A13" s="6">
        <v>112</v>
      </c>
      <c r="B13" s="6" t="s">
        <v>175</v>
      </c>
      <c r="C13" s="6" t="s">
        <v>200</v>
      </c>
      <c r="D13" s="6" t="s">
        <v>223</v>
      </c>
      <c r="E13" s="15" t="s">
        <v>152</v>
      </c>
      <c r="F13" s="15">
        <v>0</v>
      </c>
      <c r="G13" s="6">
        <v>1</v>
      </c>
      <c r="H13" s="6">
        <v>2</v>
      </c>
      <c r="I13" s="6">
        <v>2</v>
      </c>
      <c r="J13" s="6" t="s">
        <v>174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307</v>
      </c>
      <c r="U13" s="24" t="s">
        <v>959</v>
      </c>
      <c r="X13" s="2" t="s">
        <v>75</v>
      </c>
      <c r="Y13" s="6" t="s">
        <v>107</v>
      </c>
      <c r="Z13" s="6" t="s">
        <v>88</v>
      </c>
      <c r="AB13" s="6">
        <v>1</v>
      </c>
      <c r="AC13" s="6" t="s">
        <v>115</v>
      </c>
    </row>
    <row r="14" spans="1:33" x14ac:dyDescent="0.3">
      <c r="A14" s="6">
        <v>113</v>
      </c>
      <c r="B14" s="6" t="s">
        <v>1058</v>
      </c>
      <c r="C14" s="6" t="s">
        <v>201</v>
      </c>
      <c r="D14" s="6" t="s">
        <v>224</v>
      </c>
      <c r="E14" s="15" t="s">
        <v>153</v>
      </c>
      <c r="F14" s="15">
        <v>0</v>
      </c>
      <c r="G14" s="6">
        <v>1</v>
      </c>
      <c r="H14" s="6">
        <v>2</v>
      </c>
      <c r="I14" s="6">
        <v>1</v>
      </c>
      <c r="J14" s="6" t="s">
        <v>177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303</v>
      </c>
      <c r="U14" s="24" t="s">
        <v>960</v>
      </c>
      <c r="X14" s="2" t="s">
        <v>77</v>
      </c>
      <c r="Y14" s="6" t="s">
        <v>114</v>
      </c>
      <c r="Z14" s="6" t="s">
        <v>100</v>
      </c>
      <c r="AB14" s="6">
        <v>2</v>
      </c>
      <c r="AC14" s="6" t="s">
        <v>116</v>
      </c>
      <c r="AE14" s="38" t="s">
        <v>80</v>
      </c>
      <c r="AF14" s="41"/>
    </row>
    <row r="15" spans="1:33" x14ac:dyDescent="0.3">
      <c r="A15" s="6">
        <v>114</v>
      </c>
      <c r="B15" s="6" t="s">
        <v>1059</v>
      </c>
      <c r="C15" s="6" t="s">
        <v>202</v>
      </c>
      <c r="D15" s="6" t="s">
        <v>225</v>
      </c>
      <c r="E15" s="15" t="s">
        <v>154</v>
      </c>
      <c r="F15" s="15">
        <v>0</v>
      </c>
      <c r="G15" s="6">
        <v>1</v>
      </c>
      <c r="H15" s="6">
        <v>2</v>
      </c>
      <c r="I15" s="6">
        <v>2</v>
      </c>
      <c r="J15" s="6" t="s">
        <v>176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334</v>
      </c>
      <c r="U15" s="24" t="s">
        <v>961</v>
      </c>
      <c r="X15" s="2" t="s">
        <v>79</v>
      </c>
      <c r="Y15" s="6" t="s">
        <v>119</v>
      </c>
      <c r="Z15" s="6" t="s">
        <v>118</v>
      </c>
      <c r="AB15" s="6">
        <v>3</v>
      </c>
      <c r="AC15" s="6" t="s">
        <v>117</v>
      </c>
      <c r="AE15" s="6">
        <v>1</v>
      </c>
      <c r="AF15" s="6" t="s">
        <v>274</v>
      </c>
    </row>
    <row r="16" spans="1:33" x14ac:dyDescent="0.3">
      <c r="A16" s="6">
        <v>115</v>
      </c>
      <c r="B16" s="6" t="s">
        <v>178</v>
      </c>
      <c r="C16" s="6" t="s">
        <v>203</v>
      </c>
      <c r="D16" s="6" t="s">
        <v>226</v>
      </c>
      <c r="E16" s="15" t="s">
        <v>155</v>
      </c>
      <c r="F16" s="15">
        <v>0</v>
      </c>
      <c r="G16" s="6">
        <v>1</v>
      </c>
      <c r="H16" s="6">
        <v>2</v>
      </c>
      <c r="I16" s="6">
        <v>1</v>
      </c>
      <c r="J16" s="6" t="s">
        <v>179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308</v>
      </c>
      <c r="U16" s="24" t="s">
        <v>962</v>
      </c>
      <c r="X16" s="2" t="s">
        <v>80</v>
      </c>
      <c r="Y16" s="6" t="s">
        <v>313</v>
      </c>
      <c r="Z16" s="6" t="s">
        <v>118</v>
      </c>
      <c r="AE16" s="6">
        <v>2</v>
      </c>
      <c r="AF16" s="6"/>
    </row>
    <row r="17" spans="1:32" x14ac:dyDescent="0.3">
      <c r="A17" s="6">
        <v>116</v>
      </c>
      <c r="B17" s="6" t="s">
        <v>179</v>
      </c>
      <c r="C17" s="6" t="s">
        <v>204</v>
      </c>
      <c r="D17" s="6" t="s">
        <v>227</v>
      </c>
      <c r="E17" s="15" t="s">
        <v>156</v>
      </c>
      <c r="F17" s="15">
        <v>0</v>
      </c>
      <c r="G17" s="6">
        <v>1</v>
      </c>
      <c r="H17" s="6">
        <v>2</v>
      </c>
      <c r="I17" s="6">
        <v>2</v>
      </c>
      <c r="J17" s="6" t="s">
        <v>178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308</v>
      </c>
      <c r="U17" s="24" t="s">
        <v>963</v>
      </c>
      <c r="X17" s="2" t="s">
        <v>311</v>
      </c>
      <c r="Y17" s="6" t="s">
        <v>312</v>
      </c>
      <c r="Z17" s="6" t="s">
        <v>122</v>
      </c>
      <c r="AE17" s="6">
        <v>4</v>
      </c>
      <c r="AF17" s="6" t="s">
        <v>269</v>
      </c>
    </row>
    <row r="18" spans="1:32" x14ac:dyDescent="0.3">
      <c r="A18" s="6">
        <v>117</v>
      </c>
      <c r="B18" s="6" t="s">
        <v>180</v>
      </c>
      <c r="C18" s="6" t="s">
        <v>205</v>
      </c>
      <c r="D18" s="6" t="s">
        <v>228</v>
      </c>
      <c r="E18" s="15" t="s">
        <v>157</v>
      </c>
      <c r="F18" s="15">
        <v>0</v>
      </c>
      <c r="G18" s="6">
        <v>1</v>
      </c>
      <c r="H18" s="6">
        <v>2</v>
      </c>
      <c r="I18" s="6">
        <v>1</v>
      </c>
      <c r="J18" s="6" t="s">
        <v>181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308</v>
      </c>
      <c r="U18" s="24" t="s">
        <v>964</v>
      </c>
      <c r="X18" s="2" t="s">
        <v>127</v>
      </c>
      <c r="Y18" s="6" t="s">
        <v>314</v>
      </c>
      <c r="Z18" s="6" t="s">
        <v>88</v>
      </c>
      <c r="AE18" s="6">
        <v>8</v>
      </c>
      <c r="AF18" s="6" t="s">
        <v>270</v>
      </c>
    </row>
    <row r="19" spans="1:32" x14ac:dyDescent="0.3">
      <c r="A19" s="6">
        <v>118</v>
      </c>
      <c r="B19" s="6" t="s">
        <v>181</v>
      </c>
      <c r="C19" s="6" t="s">
        <v>206</v>
      </c>
      <c r="D19" s="6" t="s">
        <v>229</v>
      </c>
      <c r="E19" s="15" t="s">
        <v>158</v>
      </c>
      <c r="F19" s="15">
        <v>0</v>
      </c>
      <c r="G19" s="6">
        <v>1</v>
      </c>
      <c r="H19" s="6">
        <v>2</v>
      </c>
      <c r="I19" s="6">
        <v>2</v>
      </c>
      <c r="J19" s="6" t="s">
        <v>180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308</v>
      </c>
      <c r="U19" s="24" t="s">
        <v>965</v>
      </c>
      <c r="X19" s="2" t="s">
        <v>128</v>
      </c>
      <c r="Y19" s="6" t="s">
        <v>314</v>
      </c>
      <c r="Z19" s="6" t="s">
        <v>88</v>
      </c>
      <c r="AE19" s="6">
        <v>16</v>
      </c>
      <c r="AF19" s="6" t="s">
        <v>271</v>
      </c>
    </row>
    <row r="20" spans="1:32" x14ac:dyDescent="0.3">
      <c r="A20" s="6">
        <v>119</v>
      </c>
      <c r="B20" s="6" t="s">
        <v>182</v>
      </c>
      <c r="C20" s="6" t="s">
        <v>207</v>
      </c>
      <c r="D20" s="6" t="s">
        <v>230</v>
      </c>
      <c r="E20" s="15" t="s">
        <v>159</v>
      </c>
      <c r="F20" s="15">
        <v>0</v>
      </c>
      <c r="G20" s="6">
        <v>1</v>
      </c>
      <c r="H20" s="6">
        <v>2</v>
      </c>
      <c r="I20" s="6">
        <v>1</v>
      </c>
      <c r="J20" s="6" t="s">
        <v>183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305</v>
      </c>
      <c r="U20" s="24" t="s">
        <v>966</v>
      </c>
      <c r="X20" s="2" t="s">
        <v>129</v>
      </c>
      <c r="Y20" s="6" t="s">
        <v>314</v>
      </c>
      <c r="Z20" s="6" t="s">
        <v>88</v>
      </c>
      <c r="AE20" s="6">
        <v>32</v>
      </c>
      <c r="AF20" s="6" t="s">
        <v>262</v>
      </c>
    </row>
    <row r="21" spans="1:32" x14ac:dyDescent="0.3">
      <c r="A21" s="6">
        <v>120</v>
      </c>
      <c r="B21" s="6" t="s">
        <v>183</v>
      </c>
      <c r="C21" s="6" t="s">
        <v>208</v>
      </c>
      <c r="D21" s="6" t="s">
        <v>231</v>
      </c>
      <c r="E21" s="15" t="s">
        <v>160</v>
      </c>
      <c r="F21" s="15">
        <v>0</v>
      </c>
      <c r="G21" s="6">
        <v>1</v>
      </c>
      <c r="H21" s="6">
        <v>2</v>
      </c>
      <c r="I21" s="6">
        <v>2</v>
      </c>
      <c r="J21" s="6" t="s">
        <v>182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305</v>
      </c>
      <c r="U21" s="24" t="s">
        <v>967</v>
      </c>
      <c r="X21" s="2" t="s">
        <v>82</v>
      </c>
      <c r="Y21" s="6" t="s">
        <v>121</v>
      </c>
      <c r="Z21" s="6" t="s">
        <v>88</v>
      </c>
      <c r="AE21" s="6">
        <v>64</v>
      </c>
      <c r="AF21" s="6" t="s">
        <v>264</v>
      </c>
    </row>
    <row r="22" spans="1:32" x14ac:dyDescent="0.3">
      <c r="A22" s="6">
        <v>121</v>
      </c>
      <c r="B22" s="6" t="s">
        <v>415</v>
      </c>
      <c r="C22" s="6" t="s">
        <v>1054</v>
      </c>
      <c r="D22" s="6" t="s">
        <v>1056</v>
      </c>
      <c r="E22" s="15" t="s">
        <v>161</v>
      </c>
      <c r="F22" s="15">
        <v>0</v>
      </c>
      <c r="G22" s="6">
        <v>1</v>
      </c>
      <c r="H22" s="6">
        <v>2</v>
      </c>
      <c r="I22" s="6">
        <v>1</v>
      </c>
      <c r="J22" s="6" t="s">
        <v>245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309</v>
      </c>
      <c r="U22" s="24" t="s">
        <v>968</v>
      </c>
      <c r="X22" s="2" t="s">
        <v>83</v>
      </c>
      <c r="Y22" s="6" t="s">
        <v>120</v>
      </c>
      <c r="Z22" s="6" t="s">
        <v>122</v>
      </c>
      <c r="AE22" s="6">
        <v>128</v>
      </c>
      <c r="AF22" s="6" t="s">
        <v>266</v>
      </c>
    </row>
    <row r="23" spans="1:32" x14ac:dyDescent="0.3">
      <c r="A23" s="6">
        <v>122</v>
      </c>
      <c r="B23" s="6" t="s">
        <v>416</v>
      </c>
      <c r="C23" s="6" t="s">
        <v>1055</v>
      </c>
      <c r="D23" s="6" t="s">
        <v>1057</v>
      </c>
      <c r="E23" s="15" t="s">
        <v>162</v>
      </c>
      <c r="F23" s="15">
        <v>0</v>
      </c>
      <c r="G23" s="6">
        <v>1</v>
      </c>
      <c r="H23" s="6">
        <v>2</v>
      </c>
      <c r="I23" s="6">
        <v>2</v>
      </c>
      <c r="J23" s="6" t="s">
        <v>184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309</v>
      </c>
      <c r="U23" s="24" t="s">
        <v>969</v>
      </c>
      <c r="X23" s="2" t="s">
        <v>125</v>
      </c>
      <c r="Y23" s="6" t="s">
        <v>123</v>
      </c>
      <c r="Z23" s="6" t="s">
        <v>310</v>
      </c>
      <c r="AE23" s="6">
        <v>256</v>
      </c>
      <c r="AF23" s="6" t="s">
        <v>273</v>
      </c>
    </row>
    <row r="24" spans="1:32" x14ac:dyDescent="0.3">
      <c r="A24" s="6">
        <v>123</v>
      </c>
      <c r="B24" s="6" t="s">
        <v>185</v>
      </c>
      <c r="C24" s="6" t="s">
        <v>209</v>
      </c>
      <c r="D24" s="6" t="s">
        <v>232</v>
      </c>
      <c r="E24" s="15" t="s">
        <v>899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6">
        <v>112</v>
      </c>
      <c r="P24" s="6">
        <v>0</v>
      </c>
      <c r="Q24" s="6">
        <v>0</v>
      </c>
      <c r="R24" s="22">
        <v>0</v>
      </c>
      <c r="S24" s="22">
        <v>0</v>
      </c>
      <c r="T24" s="24" t="s">
        <v>303</v>
      </c>
      <c r="U24" s="24" t="s">
        <v>970</v>
      </c>
      <c r="X24" s="2" t="s">
        <v>81</v>
      </c>
      <c r="Y24" s="6" t="s">
        <v>126</v>
      </c>
      <c r="Z24" s="6" t="s">
        <v>310</v>
      </c>
      <c r="AE24" s="6">
        <v>512</v>
      </c>
      <c r="AF24" s="6" t="s">
        <v>272</v>
      </c>
    </row>
    <row r="25" spans="1:32" x14ac:dyDescent="0.3">
      <c r="A25" s="6">
        <v>124</v>
      </c>
      <c r="B25" s="6" t="s">
        <v>186</v>
      </c>
      <c r="C25" s="6" t="s">
        <v>210</v>
      </c>
      <c r="D25" s="6" t="s">
        <v>233</v>
      </c>
      <c r="E25" s="15" t="s">
        <v>900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6">
        <v>112</v>
      </c>
      <c r="P25" s="6">
        <v>0</v>
      </c>
      <c r="Q25" s="6">
        <v>0</v>
      </c>
      <c r="R25" s="22">
        <v>0</v>
      </c>
      <c r="S25" s="22">
        <v>0</v>
      </c>
      <c r="T25" s="24" t="s">
        <v>332</v>
      </c>
      <c r="U25" s="24" t="s">
        <v>971</v>
      </c>
      <c r="AE25" s="6">
        <v>1023</v>
      </c>
      <c r="AF25" s="6" t="s">
        <v>260</v>
      </c>
    </row>
    <row r="26" spans="1:32" x14ac:dyDescent="0.3">
      <c r="A26" s="6">
        <v>125</v>
      </c>
      <c r="B26" s="6" t="s">
        <v>187</v>
      </c>
      <c r="C26" s="6" t="s">
        <v>211</v>
      </c>
      <c r="D26" s="6" t="s">
        <v>234</v>
      </c>
      <c r="E26" s="15" t="s">
        <v>901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6">
        <v>112</v>
      </c>
      <c r="P26" s="6">
        <v>0</v>
      </c>
      <c r="Q26" s="6">
        <v>0</v>
      </c>
      <c r="R26" s="22">
        <v>0</v>
      </c>
      <c r="S26" s="22">
        <v>0</v>
      </c>
      <c r="T26" s="24" t="s">
        <v>333</v>
      </c>
      <c r="U26" s="24" t="s">
        <v>972</v>
      </c>
    </row>
    <row r="27" spans="1:32" x14ac:dyDescent="0.3">
      <c r="A27" s="6">
        <v>126</v>
      </c>
      <c r="B27" s="6" t="s">
        <v>188</v>
      </c>
      <c r="C27" s="6" t="s">
        <v>212</v>
      </c>
      <c r="D27" s="6" t="s">
        <v>235</v>
      </c>
      <c r="E27" s="15" t="s">
        <v>163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973</v>
      </c>
    </row>
    <row r="28" spans="1:32" x14ac:dyDescent="0.3">
      <c r="A28" s="6">
        <v>127</v>
      </c>
      <c r="B28" s="6" t="s">
        <v>189</v>
      </c>
      <c r="C28" s="6" t="s">
        <v>213</v>
      </c>
      <c r="D28" s="6" t="s">
        <v>236</v>
      </c>
      <c r="E28" s="15" t="s">
        <v>164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974</v>
      </c>
    </row>
    <row r="29" spans="1:32" x14ac:dyDescent="0.3">
      <c r="A29" s="6">
        <v>128</v>
      </c>
      <c r="B29" s="6" t="s">
        <v>190</v>
      </c>
      <c r="C29" s="6" t="s">
        <v>251</v>
      </c>
      <c r="D29" s="6" t="s">
        <v>237</v>
      </c>
      <c r="E29" s="15" t="s">
        <v>165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975</v>
      </c>
    </row>
    <row r="30" spans="1:32" x14ac:dyDescent="0.3">
      <c r="A30" s="6">
        <v>129</v>
      </c>
      <c r="B30" s="6" t="s">
        <v>399</v>
      </c>
      <c r="C30" s="6" t="s">
        <v>400</v>
      </c>
      <c r="D30" s="6" t="s">
        <v>401</v>
      </c>
      <c r="E30" s="15" t="s">
        <v>238</v>
      </c>
      <c r="F30" s="15">
        <v>0</v>
      </c>
      <c r="G30" s="6">
        <v>1</v>
      </c>
      <c r="H30" s="6">
        <v>2</v>
      </c>
      <c r="I30" s="6">
        <v>1</v>
      </c>
      <c r="J30" s="6" t="s">
        <v>246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0</v>
      </c>
      <c r="P30" s="6">
        <v>0</v>
      </c>
      <c r="Q30" s="6">
        <v>0</v>
      </c>
      <c r="R30" s="22">
        <v>0</v>
      </c>
      <c r="S30" s="22">
        <v>0</v>
      </c>
      <c r="T30" s="24" t="s">
        <v>332</v>
      </c>
      <c r="U30" s="24" t="s">
        <v>976</v>
      </c>
    </row>
    <row r="31" spans="1:32" x14ac:dyDescent="0.3">
      <c r="A31" s="6">
        <v>130</v>
      </c>
      <c r="B31" s="6" t="s">
        <v>402</v>
      </c>
      <c r="C31" s="6" t="s">
        <v>403</v>
      </c>
      <c r="D31" s="6" t="s">
        <v>404</v>
      </c>
      <c r="E31" s="15" t="s">
        <v>241</v>
      </c>
      <c r="F31" s="15">
        <v>0</v>
      </c>
      <c r="G31" s="6">
        <v>1</v>
      </c>
      <c r="H31" s="6">
        <v>2</v>
      </c>
      <c r="I31" s="6">
        <v>2</v>
      </c>
      <c r="J31" s="6" t="s">
        <v>244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0</v>
      </c>
      <c r="P31" s="6">
        <v>0</v>
      </c>
      <c r="Q31" s="6">
        <v>0</v>
      </c>
      <c r="R31" s="22">
        <v>0</v>
      </c>
      <c r="S31" s="22">
        <v>0</v>
      </c>
      <c r="T31" s="24" t="s">
        <v>332</v>
      </c>
      <c r="U31" s="24" t="s">
        <v>977</v>
      </c>
    </row>
    <row r="32" spans="1:32" x14ac:dyDescent="0.3">
      <c r="A32" s="6">
        <v>131</v>
      </c>
      <c r="B32" s="6" t="s">
        <v>247</v>
      </c>
      <c r="C32" s="6" t="s">
        <v>252</v>
      </c>
      <c r="D32" s="6" t="s">
        <v>256</v>
      </c>
      <c r="E32" s="15" t="s">
        <v>239</v>
      </c>
      <c r="F32" s="15">
        <v>0</v>
      </c>
      <c r="G32" s="6">
        <v>1</v>
      </c>
      <c r="H32" s="6">
        <v>2</v>
      </c>
      <c r="I32" s="6">
        <v>1</v>
      </c>
      <c r="J32" s="6" t="s">
        <v>248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0</v>
      </c>
      <c r="P32" s="6">
        <v>0</v>
      </c>
      <c r="Q32" s="6">
        <v>0</v>
      </c>
      <c r="R32" s="22">
        <v>0</v>
      </c>
      <c r="S32" s="22">
        <v>0</v>
      </c>
      <c r="T32" s="24" t="s">
        <v>334</v>
      </c>
      <c r="U32" s="24" t="s">
        <v>978</v>
      </c>
    </row>
    <row r="33" spans="1:21" x14ac:dyDescent="0.3">
      <c r="A33" s="6">
        <v>132</v>
      </c>
      <c r="B33" s="6" t="s">
        <v>248</v>
      </c>
      <c r="C33" s="6" t="s">
        <v>253</v>
      </c>
      <c r="D33" s="6" t="s">
        <v>257</v>
      </c>
      <c r="E33" s="15" t="s">
        <v>242</v>
      </c>
      <c r="F33" s="15">
        <v>0</v>
      </c>
      <c r="G33" s="6">
        <v>1</v>
      </c>
      <c r="H33" s="6">
        <v>2</v>
      </c>
      <c r="I33" s="6">
        <v>2</v>
      </c>
      <c r="J33" s="6" t="s">
        <v>247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0</v>
      </c>
      <c r="P33" s="6">
        <v>0</v>
      </c>
      <c r="Q33" s="6">
        <v>0</v>
      </c>
      <c r="R33" s="22">
        <v>0</v>
      </c>
      <c r="S33" s="22">
        <v>0</v>
      </c>
      <c r="T33" s="24" t="s">
        <v>334</v>
      </c>
      <c r="U33" s="24" t="s">
        <v>979</v>
      </c>
    </row>
    <row r="34" spans="1:21" x14ac:dyDescent="0.3">
      <c r="A34" s="6">
        <v>133</v>
      </c>
      <c r="B34" s="6" t="s">
        <v>249</v>
      </c>
      <c r="C34" s="6" t="s">
        <v>254</v>
      </c>
      <c r="D34" s="6" t="s">
        <v>258</v>
      </c>
      <c r="E34" s="15" t="s">
        <v>240</v>
      </c>
      <c r="F34" s="15">
        <v>0</v>
      </c>
      <c r="G34" s="6">
        <v>1</v>
      </c>
      <c r="H34" s="6">
        <v>2</v>
      </c>
      <c r="I34" s="6">
        <v>1</v>
      </c>
      <c r="J34" s="6" t="s">
        <v>250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0</v>
      </c>
      <c r="P34" s="6">
        <v>0</v>
      </c>
      <c r="Q34" s="6">
        <v>0</v>
      </c>
      <c r="R34" s="22">
        <v>0</v>
      </c>
      <c r="S34" s="22">
        <v>0</v>
      </c>
      <c r="T34" s="24" t="s">
        <v>335</v>
      </c>
      <c r="U34" s="24" t="s">
        <v>980</v>
      </c>
    </row>
    <row r="35" spans="1:21" x14ac:dyDescent="0.3">
      <c r="A35" s="6">
        <v>134</v>
      </c>
      <c r="B35" s="6" t="s">
        <v>250</v>
      </c>
      <c r="C35" s="6" t="s">
        <v>255</v>
      </c>
      <c r="D35" s="6" t="s">
        <v>259</v>
      </c>
      <c r="E35" s="15" t="s">
        <v>243</v>
      </c>
      <c r="F35" s="15">
        <v>0</v>
      </c>
      <c r="G35" s="6">
        <v>1</v>
      </c>
      <c r="H35" s="6">
        <v>2</v>
      </c>
      <c r="I35" s="6">
        <v>2</v>
      </c>
      <c r="J35" s="6" t="s">
        <v>249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0</v>
      </c>
      <c r="P35" s="6">
        <v>0</v>
      </c>
      <c r="Q35" s="6">
        <v>0</v>
      </c>
      <c r="R35" s="22">
        <v>0</v>
      </c>
      <c r="S35" s="22">
        <v>0</v>
      </c>
      <c r="T35" s="24" t="s">
        <v>335</v>
      </c>
      <c r="U35" s="24" t="s">
        <v>981</v>
      </c>
    </row>
    <row r="36" spans="1:21" x14ac:dyDescent="0.3">
      <c r="A36" s="6">
        <v>135</v>
      </c>
      <c r="B36" s="6" t="s">
        <v>1085</v>
      </c>
      <c r="C36" s="6" t="s">
        <v>1086</v>
      </c>
      <c r="D36" s="6" t="s">
        <v>1087</v>
      </c>
      <c r="E36" s="15" t="s">
        <v>1062</v>
      </c>
      <c r="F36" s="15">
        <v>0</v>
      </c>
      <c r="G36" s="6">
        <v>1</v>
      </c>
      <c r="H36" s="6">
        <v>3</v>
      </c>
      <c r="I36" s="6">
        <v>1</v>
      </c>
      <c r="J36" s="6" t="s">
        <v>1088</v>
      </c>
      <c r="K36" s="6">
        <v>3</v>
      </c>
      <c r="L36" s="6">
        <v>1</v>
      </c>
      <c r="M36" s="21">
        <v>32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 t="s">
        <v>1069</v>
      </c>
      <c r="U36" s="24" t="s">
        <v>1107</v>
      </c>
    </row>
    <row r="37" spans="1:21" x14ac:dyDescent="0.3">
      <c r="A37" s="6">
        <v>136</v>
      </c>
      <c r="B37" s="6" t="s">
        <v>1088</v>
      </c>
      <c r="C37" s="6" t="s">
        <v>1089</v>
      </c>
      <c r="D37" s="6" t="s">
        <v>1090</v>
      </c>
      <c r="E37" s="15" t="s">
        <v>1063</v>
      </c>
      <c r="F37" s="15">
        <v>0</v>
      </c>
      <c r="G37" s="6">
        <v>1</v>
      </c>
      <c r="H37" s="6">
        <v>3</v>
      </c>
      <c r="I37" s="6">
        <v>2</v>
      </c>
      <c r="J37" s="6" t="s">
        <v>1085</v>
      </c>
      <c r="K37" s="6">
        <v>3</v>
      </c>
      <c r="L37" s="6">
        <v>1</v>
      </c>
      <c r="M37" s="21">
        <v>32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 t="s">
        <v>1069</v>
      </c>
      <c r="U37" s="24" t="s">
        <v>1072</v>
      </c>
    </row>
    <row r="38" spans="1:21" x14ac:dyDescent="0.3">
      <c r="A38" s="6">
        <v>137</v>
      </c>
      <c r="B38" s="6" t="s">
        <v>1091</v>
      </c>
      <c r="C38" s="6" t="s">
        <v>1092</v>
      </c>
      <c r="D38" s="6" t="s">
        <v>1093</v>
      </c>
      <c r="E38" s="15" t="s">
        <v>1079</v>
      </c>
      <c r="F38" s="15">
        <v>0</v>
      </c>
      <c r="G38" s="6">
        <v>1</v>
      </c>
      <c r="H38" s="6">
        <v>3</v>
      </c>
      <c r="I38" s="6">
        <v>1</v>
      </c>
      <c r="J38" s="6" t="s">
        <v>1094</v>
      </c>
      <c r="K38" s="6">
        <v>2</v>
      </c>
      <c r="L38" s="6">
        <v>1</v>
      </c>
      <c r="M38" s="21">
        <v>32</v>
      </c>
      <c r="N38" s="6">
        <v>0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 t="s">
        <v>1068</v>
      </c>
      <c r="U38" s="24" t="s">
        <v>1073</v>
      </c>
    </row>
    <row r="39" spans="1:21" x14ac:dyDescent="0.3">
      <c r="A39" s="6">
        <v>138</v>
      </c>
      <c r="B39" s="6" t="s">
        <v>1094</v>
      </c>
      <c r="C39" s="6" t="s">
        <v>1095</v>
      </c>
      <c r="D39" s="6" t="s">
        <v>1096</v>
      </c>
      <c r="E39" s="15" t="s">
        <v>1080</v>
      </c>
      <c r="F39" s="15">
        <v>0</v>
      </c>
      <c r="G39" s="6">
        <v>1</v>
      </c>
      <c r="H39" s="6">
        <v>3</v>
      </c>
      <c r="I39" s="6">
        <v>2</v>
      </c>
      <c r="J39" s="6" t="s">
        <v>1091</v>
      </c>
      <c r="K39" s="6">
        <v>2</v>
      </c>
      <c r="L39" s="6">
        <v>1</v>
      </c>
      <c r="M39" s="21">
        <v>32</v>
      </c>
      <c r="N39" s="6">
        <v>0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 t="s">
        <v>1065</v>
      </c>
      <c r="U39" s="24" t="s">
        <v>1074</v>
      </c>
    </row>
    <row r="40" spans="1:21" x14ac:dyDescent="0.3">
      <c r="A40" s="6">
        <v>139</v>
      </c>
      <c r="B40" s="6" t="s">
        <v>1097</v>
      </c>
      <c r="C40" s="6" t="s">
        <v>1098</v>
      </c>
      <c r="D40" s="6" t="s">
        <v>1099</v>
      </c>
      <c r="E40" s="15" t="s">
        <v>1081</v>
      </c>
      <c r="F40" s="15">
        <v>0</v>
      </c>
      <c r="G40" s="6">
        <v>1</v>
      </c>
      <c r="H40" s="6">
        <v>3</v>
      </c>
      <c r="I40" s="6">
        <v>1</v>
      </c>
      <c r="J40" s="6" t="s">
        <v>1100</v>
      </c>
      <c r="K40" s="6">
        <v>3</v>
      </c>
      <c r="L40" s="6">
        <v>1</v>
      </c>
      <c r="M40" s="21">
        <v>32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 t="s">
        <v>1066</v>
      </c>
      <c r="U40" s="24" t="s">
        <v>1075</v>
      </c>
    </row>
    <row r="41" spans="1:21" x14ac:dyDescent="0.3">
      <c r="A41" s="6">
        <v>140</v>
      </c>
      <c r="B41" s="6" t="s">
        <v>1100</v>
      </c>
      <c r="C41" s="6" t="s">
        <v>1101</v>
      </c>
      <c r="D41" s="6" t="s">
        <v>1102</v>
      </c>
      <c r="E41" s="15" t="s">
        <v>1082</v>
      </c>
      <c r="F41" s="15">
        <v>0</v>
      </c>
      <c r="G41" s="6">
        <v>1</v>
      </c>
      <c r="H41" s="6">
        <v>3</v>
      </c>
      <c r="I41" s="6">
        <v>2</v>
      </c>
      <c r="J41" s="6" t="s">
        <v>1097</v>
      </c>
      <c r="K41" s="6">
        <v>3</v>
      </c>
      <c r="L41" s="6">
        <v>1</v>
      </c>
      <c r="M41" s="21">
        <v>32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 t="s">
        <v>1067</v>
      </c>
      <c r="U41" s="24" t="s">
        <v>1076</v>
      </c>
    </row>
    <row r="42" spans="1:21" x14ac:dyDescent="0.3">
      <c r="A42" s="6">
        <v>141</v>
      </c>
      <c r="B42" s="6" t="s">
        <v>1103</v>
      </c>
      <c r="C42" s="6" t="s">
        <v>1104</v>
      </c>
      <c r="D42" s="6" t="s">
        <v>1105</v>
      </c>
      <c r="E42" s="15" t="s">
        <v>1083</v>
      </c>
      <c r="F42" s="15">
        <v>0</v>
      </c>
      <c r="G42" s="6">
        <v>1</v>
      </c>
      <c r="H42" s="6">
        <v>3</v>
      </c>
      <c r="I42" s="6">
        <v>1</v>
      </c>
      <c r="J42" s="6" t="s">
        <v>1106</v>
      </c>
      <c r="K42" s="6">
        <v>3</v>
      </c>
      <c r="L42" s="6">
        <v>1</v>
      </c>
      <c r="M42" s="21">
        <v>32</v>
      </c>
      <c r="N42" s="6">
        <v>0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 t="s">
        <v>1070</v>
      </c>
      <c r="U42" s="24" t="s">
        <v>1077</v>
      </c>
    </row>
    <row r="43" spans="1:21" x14ac:dyDescent="0.3">
      <c r="A43" s="6">
        <v>142</v>
      </c>
      <c r="B43" s="6" t="s">
        <v>1106</v>
      </c>
      <c r="C43" s="6" t="s">
        <v>1161</v>
      </c>
      <c r="D43" s="6" t="s">
        <v>1164</v>
      </c>
      <c r="E43" s="15" t="s">
        <v>1084</v>
      </c>
      <c r="F43" s="15">
        <v>0</v>
      </c>
      <c r="G43" s="6">
        <v>1</v>
      </c>
      <c r="H43" s="6">
        <v>3</v>
      </c>
      <c r="I43" s="6">
        <v>2</v>
      </c>
      <c r="J43" s="6" t="s">
        <v>1103</v>
      </c>
      <c r="K43" s="6">
        <v>3</v>
      </c>
      <c r="L43" s="6">
        <v>1</v>
      </c>
      <c r="M43" s="21">
        <v>32</v>
      </c>
      <c r="N43" s="6">
        <v>0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 t="s">
        <v>1071</v>
      </c>
      <c r="U43" s="24" t="s">
        <v>1078</v>
      </c>
    </row>
    <row r="44" spans="1:21" x14ac:dyDescent="0.3">
      <c r="A44" s="6">
        <v>143</v>
      </c>
      <c r="B44" s="6" t="s">
        <v>1162</v>
      </c>
      <c r="C44" s="6" t="s">
        <v>1163</v>
      </c>
      <c r="D44" s="6" t="s">
        <v>1165</v>
      </c>
      <c r="E44" s="15">
        <v>0</v>
      </c>
      <c r="F44" s="15">
        <v>0</v>
      </c>
      <c r="G44" s="6">
        <v>1</v>
      </c>
      <c r="H44" s="6">
        <v>3</v>
      </c>
      <c r="I44" s="6">
        <v>1</v>
      </c>
      <c r="J44" s="6" t="s">
        <v>1166</v>
      </c>
      <c r="K44" s="6">
        <v>1</v>
      </c>
      <c r="L44" s="6">
        <v>1</v>
      </c>
      <c r="M44" s="21">
        <v>957</v>
      </c>
      <c r="N44" s="6">
        <v>0</v>
      </c>
      <c r="O44" s="6">
        <v>103</v>
      </c>
      <c r="P44" s="6">
        <v>0</v>
      </c>
      <c r="Q44" s="6">
        <v>0</v>
      </c>
      <c r="R44" s="22">
        <v>0</v>
      </c>
      <c r="S44" s="22">
        <v>0</v>
      </c>
      <c r="T44" s="24" t="s">
        <v>334</v>
      </c>
      <c r="U44" s="24" t="s">
        <v>1064</v>
      </c>
    </row>
    <row r="45" spans="1:21" x14ac:dyDescent="0.3">
      <c r="A45" s="6">
        <v>144</v>
      </c>
      <c r="B45" s="6" t="s">
        <v>1166</v>
      </c>
      <c r="C45" s="6" t="s">
        <v>1167</v>
      </c>
      <c r="D45" s="6" t="s">
        <v>1168</v>
      </c>
      <c r="E45" s="15">
        <v>0</v>
      </c>
      <c r="F45" s="15">
        <v>0</v>
      </c>
      <c r="G45" s="6">
        <v>1</v>
      </c>
      <c r="H45" s="6">
        <v>3</v>
      </c>
      <c r="I45" s="6">
        <v>2</v>
      </c>
      <c r="J45" s="6" t="s">
        <v>1162</v>
      </c>
      <c r="K45" s="6">
        <v>1</v>
      </c>
      <c r="L45" s="6">
        <v>1</v>
      </c>
      <c r="M45" s="21">
        <v>32</v>
      </c>
      <c r="N45" s="6">
        <v>0</v>
      </c>
      <c r="O45" s="6">
        <v>104</v>
      </c>
      <c r="P45" s="6">
        <v>0</v>
      </c>
      <c r="Q45" s="6">
        <v>0</v>
      </c>
      <c r="R45" s="22">
        <v>0</v>
      </c>
      <c r="S45" s="22">
        <v>0</v>
      </c>
      <c r="T45" s="24" t="s">
        <v>334</v>
      </c>
      <c r="U45" s="24" t="s">
        <v>1064</v>
      </c>
    </row>
    <row r="46" spans="1:21" x14ac:dyDescent="0.3">
      <c r="A46" s="6">
        <v>145</v>
      </c>
      <c r="B46" s="6" t="s">
        <v>1169</v>
      </c>
      <c r="C46" s="6" t="s">
        <v>1170</v>
      </c>
      <c r="D46" s="6" t="s">
        <v>1171</v>
      </c>
      <c r="E46" s="15">
        <v>0</v>
      </c>
      <c r="F46" s="15">
        <v>0</v>
      </c>
      <c r="G46" s="6">
        <v>1</v>
      </c>
      <c r="H46" s="6">
        <v>3</v>
      </c>
      <c r="I46" s="6">
        <v>1</v>
      </c>
      <c r="J46" s="6" t="s">
        <v>1172</v>
      </c>
      <c r="K46" s="6">
        <v>1</v>
      </c>
      <c r="L46" s="6">
        <v>1</v>
      </c>
      <c r="M46" s="21">
        <v>32</v>
      </c>
      <c r="N46" s="6">
        <v>0</v>
      </c>
      <c r="O46" s="6">
        <v>106</v>
      </c>
      <c r="P46" s="6">
        <v>0</v>
      </c>
      <c r="Q46" s="6">
        <v>0</v>
      </c>
      <c r="R46" s="22">
        <v>0</v>
      </c>
      <c r="S46" s="22">
        <v>0</v>
      </c>
      <c r="T46" s="24" t="s">
        <v>334</v>
      </c>
      <c r="U46" s="24" t="s">
        <v>1064</v>
      </c>
    </row>
    <row r="47" spans="1:21" x14ac:dyDescent="0.3">
      <c r="A47" s="6">
        <v>146</v>
      </c>
      <c r="B47" s="6" t="s">
        <v>1172</v>
      </c>
      <c r="C47" s="6" t="s">
        <v>1173</v>
      </c>
      <c r="D47" s="6" t="s">
        <v>1174</v>
      </c>
      <c r="E47" s="15">
        <v>0</v>
      </c>
      <c r="F47" s="15">
        <v>0</v>
      </c>
      <c r="G47" s="6">
        <v>1</v>
      </c>
      <c r="H47" s="6">
        <v>3</v>
      </c>
      <c r="I47" s="6">
        <v>2</v>
      </c>
      <c r="J47" s="6" t="s">
        <v>1169</v>
      </c>
      <c r="K47" s="6">
        <v>1</v>
      </c>
      <c r="L47" s="6">
        <v>1</v>
      </c>
      <c r="M47" s="21">
        <v>32</v>
      </c>
      <c r="N47" s="6">
        <v>0</v>
      </c>
      <c r="O47" s="6">
        <v>111</v>
      </c>
      <c r="P47" s="6">
        <v>107</v>
      </c>
      <c r="Q47" s="6">
        <v>0</v>
      </c>
      <c r="R47" s="22">
        <v>0</v>
      </c>
      <c r="S47" s="22">
        <v>0</v>
      </c>
      <c r="T47" s="24" t="s">
        <v>334</v>
      </c>
      <c r="U47" s="24" t="s">
        <v>1064</v>
      </c>
    </row>
    <row r="48" spans="1:21" x14ac:dyDescent="0.3">
      <c r="A48" s="6">
        <v>147</v>
      </c>
      <c r="B48" s="6" t="s">
        <v>1175</v>
      </c>
      <c r="C48" s="6" t="s">
        <v>1176</v>
      </c>
      <c r="D48" s="6" t="s">
        <v>1177</v>
      </c>
      <c r="E48" s="15">
        <v>0</v>
      </c>
      <c r="F48" s="15">
        <v>0</v>
      </c>
      <c r="G48" s="6">
        <v>1</v>
      </c>
      <c r="H48" s="6">
        <v>3</v>
      </c>
      <c r="I48" s="6">
        <v>1</v>
      </c>
      <c r="J48" s="6" t="s">
        <v>1178</v>
      </c>
      <c r="K48" s="6">
        <v>1</v>
      </c>
      <c r="L48" s="6">
        <v>1</v>
      </c>
      <c r="M48" s="21">
        <v>32</v>
      </c>
      <c r="N48" s="6">
        <v>0</v>
      </c>
      <c r="O48" s="6">
        <v>108</v>
      </c>
      <c r="P48" s="6">
        <v>0</v>
      </c>
      <c r="Q48" s="6">
        <v>0</v>
      </c>
      <c r="R48" s="22">
        <v>0</v>
      </c>
      <c r="S48" s="22">
        <v>0</v>
      </c>
      <c r="T48" s="24" t="s">
        <v>334</v>
      </c>
      <c r="U48" s="24" t="s">
        <v>1064</v>
      </c>
    </row>
    <row r="49" spans="1:21" x14ac:dyDescent="0.3">
      <c r="A49" s="6">
        <v>148</v>
      </c>
      <c r="B49" s="6" t="s">
        <v>1178</v>
      </c>
      <c r="C49" s="6" t="s">
        <v>1179</v>
      </c>
      <c r="D49" s="6" t="s">
        <v>1180</v>
      </c>
      <c r="E49" s="15">
        <v>0</v>
      </c>
      <c r="F49" s="15">
        <v>0</v>
      </c>
      <c r="G49" s="6">
        <v>1</v>
      </c>
      <c r="H49" s="6">
        <v>3</v>
      </c>
      <c r="I49" s="6">
        <v>2</v>
      </c>
      <c r="J49" s="6" t="s">
        <v>1175</v>
      </c>
      <c r="K49" s="6">
        <v>1</v>
      </c>
      <c r="L49" s="6">
        <v>1</v>
      </c>
      <c r="M49" s="21">
        <v>32</v>
      </c>
      <c r="N49" s="6">
        <v>0</v>
      </c>
      <c r="O49" s="6">
        <v>109</v>
      </c>
      <c r="P49" s="6">
        <v>0</v>
      </c>
      <c r="Q49" s="6">
        <v>0</v>
      </c>
      <c r="R49" s="22">
        <v>0</v>
      </c>
      <c r="S49" s="22">
        <v>0</v>
      </c>
      <c r="T49" s="24" t="s">
        <v>334</v>
      </c>
      <c r="U49" s="24" t="s">
        <v>1064</v>
      </c>
    </row>
    <row r="50" spans="1:21" x14ac:dyDescent="0.3">
      <c r="A50" s="6">
        <v>149</v>
      </c>
      <c r="B50" s="6" t="s">
        <v>1181</v>
      </c>
      <c r="C50" s="6" t="s">
        <v>1182</v>
      </c>
      <c r="D50" s="6" t="s">
        <v>1183</v>
      </c>
      <c r="E50" s="15">
        <v>0</v>
      </c>
      <c r="F50" s="15">
        <v>0</v>
      </c>
      <c r="G50" s="6">
        <v>1</v>
      </c>
      <c r="H50" s="6">
        <v>3</v>
      </c>
      <c r="I50" s="6">
        <v>1</v>
      </c>
      <c r="J50" s="6" t="s">
        <v>1184</v>
      </c>
      <c r="K50" s="6">
        <v>1</v>
      </c>
      <c r="L50" s="6">
        <v>1</v>
      </c>
      <c r="M50" s="21">
        <v>32</v>
      </c>
      <c r="N50" s="6">
        <v>0</v>
      </c>
      <c r="O50" s="6">
        <v>110</v>
      </c>
      <c r="P50" s="6">
        <v>0</v>
      </c>
      <c r="Q50" s="6">
        <v>0</v>
      </c>
      <c r="R50" s="22">
        <v>0</v>
      </c>
      <c r="S50" s="22">
        <v>0</v>
      </c>
      <c r="T50" s="24" t="s">
        <v>334</v>
      </c>
      <c r="U50" s="24" t="s">
        <v>1064</v>
      </c>
    </row>
    <row r="51" spans="1:21" x14ac:dyDescent="0.3">
      <c r="A51" s="6">
        <v>150</v>
      </c>
      <c r="B51" s="6" t="s">
        <v>1184</v>
      </c>
      <c r="C51" s="6" t="s">
        <v>1185</v>
      </c>
      <c r="D51" s="6" t="s">
        <v>1186</v>
      </c>
      <c r="E51" s="15">
        <v>0</v>
      </c>
      <c r="F51" s="15">
        <v>0</v>
      </c>
      <c r="G51" s="6">
        <v>1</v>
      </c>
      <c r="H51" s="6">
        <v>3</v>
      </c>
      <c r="I51" s="6">
        <v>2</v>
      </c>
      <c r="J51" s="6" t="s">
        <v>1181</v>
      </c>
      <c r="K51" s="6">
        <v>1</v>
      </c>
      <c r="L51" s="6">
        <v>1</v>
      </c>
      <c r="M51" s="21">
        <v>32</v>
      </c>
      <c r="N51" s="6">
        <v>0</v>
      </c>
      <c r="O51" s="6">
        <v>112</v>
      </c>
      <c r="P51" s="6">
        <v>0</v>
      </c>
      <c r="Q51" s="6">
        <v>0</v>
      </c>
      <c r="R51" s="22">
        <v>0</v>
      </c>
      <c r="S51" s="22">
        <v>0</v>
      </c>
      <c r="T51" s="24" t="s">
        <v>334</v>
      </c>
      <c r="U51" s="24" t="s">
        <v>1064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6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91</v>
      </c>
      <c r="B1" s="2" t="s">
        <v>73</v>
      </c>
      <c r="C1" s="2" t="s">
        <v>261</v>
      </c>
      <c r="D1" s="2">
        <v>1</v>
      </c>
      <c r="E1" s="2">
        <v>2</v>
      </c>
      <c r="F1" s="2" t="s">
        <v>269</v>
      </c>
      <c r="G1" s="2" t="s">
        <v>270</v>
      </c>
      <c r="H1" s="2" t="s">
        <v>271</v>
      </c>
      <c r="I1" s="2" t="s">
        <v>263</v>
      </c>
      <c r="J1" s="2" t="s">
        <v>265</v>
      </c>
      <c r="K1" s="2" t="s">
        <v>267</v>
      </c>
      <c r="L1" s="2" t="s">
        <v>273</v>
      </c>
      <c r="M1" s="2" t="s">
        <v>272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  <row r="36" spans="1:24" x14ac:dyDescent="0.3">
      <c r="C36" s="3">
        <f t="shared" ref="C36" si="22">SUM(O36:X36)</f>
        <v>957</v>
      </c>
      <c r="D36" s="3" t="b">
        <v>1</v>
      </c>
      <c r="E36" s="3">
        <v>0</v>
      </c>
      <c r="F36" s="3" t="b">
        <v>1</v>
      </c>
      <c r="G36" s="3" t="b">
        <v>1</v>
      </c>
      <c r="H36" s="3" t="b">
        <v>1</v>
      </c>
      <c r="I36" s="3" t="b">
        <v>1</v>
      </c>
      <c r="J36" s="3">
        <v>0</v>
      </c>
      <c r="K36" s="3" t="b">
        <v>1</v>
      </c>
      <c r="L36" s="3" t="b">
        <v>1</v>
      </c>
      <c r="M36" s="3" t="b">
        <v>1</v>
      </c>
      <c r="O36" s="2">
        <f t="shared" ref="O36" si="23">IF(D36&lt;&gt;0,2^(O$1-1),0)</f>
        <v>1</v>
      </c>
      <c r="P36" s="2">
        <f t="shared" ref="P36" si="24">IF(E36&lt;&gt;0,2^(P$1-1),0)</f>
        <v>0</v>
      </c>
      <c r="Q36" s="2">
        <f t="shared" ref="Q36" si="25">IF(F36&lt;&gt;0,2^(Q$1-1),0)</f>
        <v>4</v>
      </c>
      <c r="R36" s="2">
        <f t="shared" ref="R36" si="26">IF(G36&lt;&gt;0,2^(R$1-1),0)</f>
        <v>8</v>
      </c>
      <c r="S36" s="2">
        <f t="shared" ref="S36" si="27">IF(H36&lt;&gt;0,2^(S$1-1),0)</f>
        <v>16</v>
      </c>
      <c r="T36" s="2">
        <f t="shared" ref="T36" si="28">IF(I36&lt;&gt;0,2^(T$1-1),0)</f>
        <v>32</v>
      </c>
      <c r="U36" s="2">
        <f t="shared" ref="U36" si="29">IF(J36&lt;&gt;0,2^(U$1-1),0)</f>
        <v>0</v>
      </c>
      <c r="V36" s="2">
        <f t="shared" ref="V36" si="30">IF(K36&lt;&gt;0,2^(V$1-1),0)</f>
        <v>128</v>
      </c>
      <c r="W36" s="2">
        <f t="shared" ref="W36" si="31">IF(L36&lt;&gt;0,2^(W$1-1),0)</f>
        <v>256</v>
      </c>
      <c r="X36" s="2">
        <f t="shared" ref="X36" si="32">IF(M36&lt;&gt;0,2^(X$1-1),0)</f>
        <v>512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tabSelected="1" workbookViewId="0">
      <selection activeCell="A2" sqref="A2:XFD3"/>
    </sheetView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268</v>
      </c>
      <c r="D1" s="2" t="s">
        <v>740</v>
      </c>
      <c r="E1" s="8" t="s">
        <v>10</v>
      </c>
      <c r="F1" s="8" t="s">
        <v>21</v>
      </c>
      <c r="G1" s="2" t="s">
        <v>316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336</v>
      </c>
      <c r="B2" s="6" t="s">
        <v>417</v>
      </c>
      <c r="C2" s="6" t="s">
        <v>418</v>
      </c>
      <c r="D2" s="6" t="s">
        <v>741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50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8" t="s">
        <v>322</v>
      </c>
      <c r="AE2" s="39"/>
      <c r="AF2" s="40"/>
    </row>
    <row r="3" spans="1:32" x14ac:dyDescent="0.3">
      <c r="A3" s="6" t="s">
        <v>1060</v>
      </c>
      <c r="B3" s="6" t="s">
        <v>419</v>
      </c>
      <c r="C3" s="6" t="s">
        <v>420</v>
      </c>
      <c r="D3" s="6" t="s">
        <v>742</v>
      </c>
      <c r="E3" s="7" t="s">
        <v>1061</v>
      </c>
      <c r="F3" s="7" t="s">
        <v>24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51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85</v>
      </c>
      <c r="AE3" s="2" t="s">
        <v>86</v>
      </c>
      <c r="AF3" s="2" t="s">
        <v>87</v>
      </c>
    </row>
    <row r="4" spans="1:32" x14ac:dyDescent="0.3">
      <c r="A4" s="6" t="s">
        <v>338</v>
      </c>
      <c r="B4" s="6" t="s">
        <v>421</v>
      </c>
      <c r="C4" s="6" t="s">
        <v>422</v>
      </c>
      <c r="D4" s="6" t="s">
        <v>743</v>
      </c>
      <c r="E4" s="7" t="s">
        <v>25</v>
      </c>
      <c r="F4" s="7" t="s">
        <v>26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52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317</v>
      </c>
      <c r="AE4" s="6" t="s">
        <v>323</v>
      </c>
      <c r="AF4" s="6" t="s">
        <v>88</v>
      </c>
    </row>
    <row r="5" spans="1:32" x14ac:dyDescent="0.3">
      <c r="A5" s="6" t="s">
        <v>339</v>
      </c>
      <c r="B5" s="6" t="s">
        <v>423</v>
      </c>
      <c r="C5" s="6" t="s">
        <v>424</v>
      </c>
      <c r="D5" s="6" t="s">
        <v>744</v>
      </c>
      <c r="E5" s="7" t="s">
        <v>739</v>
      </c>
      <c r="F5" s="7" t="s">
        <v>27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53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318</v>
      </c>
      <c r="AE5" s="6" t="s">
        <v>324</v>
      </c>
      <c r="AF5" s="6" t="s">
        <v>88</v>
      </c>
    </row>
    <row r="6" spans="1:32" x14ac:dyDescent="0.3">
      <c r="A6" s="6" t="s">
        <v>340</v>
      </c>
      <c r="B6" s="6" t="s">
        <v>425</v>
      </c>
      <c r="C6" s="6" t="s">
        <v>426</v>
      </c>
      <c r="D6" s="6" t="s">
        <v>745</v>
      </c>
      <c r="E6" s="7" t="s">
        <v>738</v>
      </c>
      <c r="F6" s="7" t="s">
        <v>28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319</v>
      </c>
      <c r="AE6" s="6" t="s">
        <v>325</v>
      </c>
      <c r="AF6" s="6" t="s">
        <v>88</v>
      </c>
    </row>
    <row r="7" spans="1:32" x14ac:dyDescent="0.3">
      <c r="A7" s="6" t="s">
        <v>341</v>
      </c>
      <c r="B7" s="6" t="s">
        <v>427</v>
      </c>
      <c r="C7" s="6" t="s">
        <v>428</v>
      </c>
      <c r="D7" s="6" t="s">
        <v>746</v>
      </c>
      <c r="E7" s="7" t="s">
        <v>737</v>
      </c>
      <c r="F7" s="7" t="s">
        <v>29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53</v>
      </c>
      <c r="T7" s="10" t="s">
        <v>54</v>
      </c>
      <c r="U7" s="10" t="s">
        <v>67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320</v>
      </c>
      <c r="AE7" s="6" t="s">
        <v>326</v>
      </c>
      <c r="AF7" s="6" t="s">
        <v>96</v>
      </c>
    </row>
    <row r="8" spans="1:32" x14ac:dyDescent="0.3">
      <c r="A8" s="6" t="s">
        <v>342</v>
      </c>
      <c r="B8" s="6" t="s">
        <v>429</v>
      </c>
      <c r="C8" s="6" t="s">
        <v>430</v>
      </c>
      <c r="D8" s="6" t="s">
        <v>747</v>
      </c>
      <c r="E8" s="7" t="s">
        <v>30</v>
      </c>
      <c r="F8" s="7" t="s">
        <v>31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68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321</v>
      </c>
      <c r="AE8" s="6" t="s">
        <v>327</v>
      </c>
      <c r="AF8" s="6" t="s">
        <v>96</v>
      </c>
    </row>
    <row r="9" spans="1:32" x14ac:dyDescent="0.3">
      <c r="A9" s="6" t="s">
        <v>343</v>
      </c>
      <c r="B9" s="6" t="s">
        <v>431</v>
      </c>
      <c r="C9" s="6" t="s">
        <v>432</v>
      </c>
      <c r="D9" s="6" t="s">
        <v>748</v>
      </c>
      <c r="E9" s="7" t="s">
        <v>32</v>
      </c>
      <c r="F9" s="7" t="s">
        <v>33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315</v>
      </c>
      <c r="AE9" s="6" t="s">
        <v>328</v>
      </c>
      <c r="AF9" s="6" t="s">
        <v>100</v>
      </c>
    </row>
    <row r="10" spans="1:32" x14ac:dyDescent="0.3">
      <c r="A10" s="6" t="s">
        <v>344</v>
      </c>
      <c r="B10" s="6" t="s">
        <v>433</v>
      </c>
      <c r="C10" s="6" t="s">
        <v>434</v>
      </c>
      <c r="D10" s="6" t="s">
        <v>749</v>
      </c>
      <c r="E10" s="7" t="s">
        <v>736</v>
      </c>
      <c r="F10" s="7" t="s">
        <v>34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51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330</v>
      </c>
      <c r="AE10" s="6" t="s">
        <v>329</v>
      </c>
      <c r="AF10" s="6" t="s">
        <v>331</v>
      </c>
    </row>
    <row r="11" spans="1:32" x14ac:dyDescent="0.3">
      <c r="A11" s="6" t="s">
        <v>345</v>
      </c>
      <c r="B11" s="6" t="s">
        <v>435</v>
      </c>
      <c r="C11" s="6" t="s">
        <v>436</v>
      </c>
      <c r="D11" s="6" t="s">
        <v>750</v>
      </c>
      <c r="E11" s="7" t="s">
        <v>735</v>
      </c>
      <c r="F11" s="7" t="s">
        <v>35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51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346</v>
      </c>
      <c r="B12" s="6" t="s">
        <v>437</v>
      </c>
      <c r="C12" s="6" t="s">
        <v>438</v>
      </c>
      <c r="D12" s="6" t="s">
        <v>751</v>
      </c>
      <c r="E12" s="7" t="s">
        <v>905</v>
      </c>
      <c r="F12" s="7" t="s">
        <v>820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52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347</v>
      </c>
      <c r="B13" s="6" t="s">
        <v>439</v>
      </c>
      <c r="C13" s="6" t="s">
        <v>440</v>
      </c>
      <c r="D13" s="6" t="s">
        <v>752</v>
      </c>
      <c r="E13" s="7" t="s">
        <v>36</v>
      </c>
      <c r="F13" s="7" t="s">
        <v>37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348</v>
      </c>
      <c r="B14" s="6" t="s">
        <v>441</v>
      </c>
      <c r="C14" s="6" t="s">
        <v>442</v>
      </c>
      <c r="D14" s="6" t="s">
        <v>753</v>
      </c>
      <c r="E14" s="7" t="s">
        <v>734</v>
      </c>
      <c r="F14" s="7" t="s">
        <v>38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51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349</v>
      </c>
      <c r="B15" s="6" t="s">
        <v>443</v>
      </c>
      <c r="C15" s="6" t="s">
        <v>444</v>
      </c>
      <c r="D15" s="6" t="s">
        <v>754</v>
      </c>
      <c r="E15" s="7" t="s">
        <v>39</v>
      </c>
      <c r="F15" s="7" t="s">
        <v>40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66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350</v>
      </c>
      <c r="B16" s="6" t="s">
        <v>445</v>
      </c>
      <c r="C16" s="6" t="s">
        <v>446</v>
      </c>
      <c r="D16" s="6" t="s">
        <v>755</v>
      </c>
      <c r="E16" s="7" t="s">
        <v>733</v>
      </c>
      <c r="F16" s="7" t="s">
        <v>41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52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351</v>
      </c>
      <c r="B17" s="6" t="s">
        <v>447</v>
      </c>
      <c r="C17" s="6" t="s">
        <v>448</v>
      </c>
      <c r="D17" s="6" t="s">
        <v>756</v>
      </c>
      <c r="E17" s="7" t="s">
        <v>906</v>
      </c>
      <c r="F17" s="7" t="s">
        <v>42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52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352</v>
      </c>
      <c r="B18" s="6" t="s">
        <v>449</v>
      </c>
      <c r="C18" s="6" t="s">
        <v>450</v>
      </c>
      <c r="D18" s="6" t="s">
        <v>757</v>
      </c>
      <c r="E18" s="7" t="s">
        <v>732</v>
      </c>
      <c r="F18" s="7" t="s">
        <v>43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353</v>
      </c>
      <c r="B19" s="6" t="s">
        <v>451</v>
      </c>
      <c r="C19" s="6" t="s">
        <v>452</v>
      </c>
      <c r="D19" s="6" t="s">
        <v>758</v>
      </c>
      <c r="E19" s="7" t="s">
        <v>44</v>
      </c>
      <c r="F19" s="7" t="s">
        <v>45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53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354</v>
      </c>
      <c r="B20" s="6" t="s">
        <v>453</v>
      </c>
      <c r="C20" s="6" t="s">
        <v>454</v>
      </c>
      <c r="D20" s="6" t="s">
        <v>759</v>
      </c>
      <c r="E20" s="7" t="s">
        <v>731</v>
      </c>
      <c r="F20" s="7" t="s">
        <v>46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51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355</v>
      </c>
      <c r="B21" s="6" t="s">
        <v>455</v>
      </c>
      <c r="C21" s="6" t="s">
        <v>456</v>
      </c>
      <c r="D21" s="6" t="s">
        <v>760</v>
      </c>
      <c r="E21" s="7" t="s">
        <v>730</v>
      </c>
      <c r="F21" s="7" t="s">
        <v>47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55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356</v>
      </c>
      <c r="B22" s="6" t="s">
        <v>457</v>
      </c>
      <c r="C22" s="6" t="s">
        <v>458</v>
      </c>
      <c r="D22" s="6" t="s">
        <v>761</v>
      </c>
      <c r="E22" s="7" t="s">
        <v>48</v>
      </c>
      <c r="F22" s="7" t="s">
        <v>49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56</v>
      </c>
      <c r="T22" s="10" t="s">
        <v>57</v>
      </c>
      <c r="U22" s="10" t="s">
        <v>58</v>
      </c>
      <c r="V22" s="10" t="s">
        <v>59</v>
      </c>
      <c r="W22" s="10" t="s">
        <v>60</v>
      </c>
      <c r="X22" s="10" t="s">
        <v>61</v>
      </c>
      <c r="Y22" s="10" t="s">
        <v>62</v>
      </c>
      <c r="Z22" s="10" t="s">
        <v>63</v>
      </c>
      <c r="AA22" s="10" t="s">
        <v>64</v>
      </c>
      <c r="AB22" s="10" t="s">
        <v>65</v>
      </c>
    </row>
    <row r="23" spans="1:28" x14ac:dyDescent="0.3">
      <c r="A23" s="6" t="s">
        <v>357</v>
      </c>
      <c r="B23" s="6" t="s">
        <v>459</v>
      </c>
      <c r="C23" s="6" t="s">
        <v>460</v>
      </c>
      <c r="D23" s="6" t="s">
        <v>762</v>
      </c>
      <c r="E23" s="7" t="s">
        <v>907</v>
      </c>
      <c r="F23" s="7" t="s">
        <v>728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52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725</v>
      </c>
      <c r="B24" s="6" t="s">
        <v>726</v>
      </c>
      <c r="C24" s="6" t="s">
        <v>727</v>
      </c>
      <c r="D24" s="6" t="s">
        <v>763</v>
      </c>
      <c r="E24" s="7" t="s">
        <v>908</v>
      </c>
      <c r="F24" s="7" t="s">
        <v>729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52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358</v>
      </c>
      <c r="B25" s="6" t="s">
        <v>461</v>
      </c>
      <c r="C25" s="6" t="s">
        <v>462</v>
      </c>
      <c r="D25" s="6" t="s">
        <v>764</v>
      </c>
      <c r="E25" s="7" t="s">
        <v>275</v>
      </c>
      <c r="F25" s="7" t="s">
        <v>288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52</v>
      </c>
      <c r="T25" s="10" t="s">
        <v>293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359</v>
      </c>
      <c r="B26" s="6" t="s">
        <v>463</v>
      </c>
      <c r="C26" s="6" t="s">
        <v>464</v>
      </c>
      <c r="D26" s="6" t="s">
        <v>765</v>
      </c>
      <c r="E26" s="7" t="s">
        <v>276</v>
      </c>
      <c r="F26" s="7" t="s">
        <v>289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293</v>
      </c>
      <c r="T26" s="10" t="s">
        <v>51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360</v>
      </c>
      <c r="B27" s="6" t="s">
        <v>465</v>
      </c>
      <c r="C27" s="6" t="s">
        <v>466</v>
      </c>
      <c r="D27" s="6" t="s">
        <v>766</v>
      </c>
      <c r="E27" s="7" t="s">
        <v>277</v>
      </c>
      <c r="F27" s="7" t="s">
        <v>290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294</v>
      </c>
      <c r="T27" s="10" t="s">
        <v>293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361</v>
      </c>
      <c r="B28" s="6" t="s">
        <v>467</v>
      </c>
      <c r="C28" s="6" t="s">
        <v>468</v>
      </c>
      <c r="D28" s="6" t="s">
        <v>767</v>
      </c>
      <c r="E28" s="7" t="s">
        <v>278</v>
      </c>
      <c r="F28" s="7" t="s">
        <v>291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293</v>
      </c>
      <c r="T28" s="10" t="s">
        <v>53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362</v>
      </c>
      <c r="B29" s="6" t="s">
        <v>469</v>
      </c>
      <c r="C29" s="6" t="s">
        <v>470</v>
      </c>
      <c r="D29" s="6" t="s">
        <v>768</v>
      </c>
      <c r="E29" s="7" t="s">
        <v>279</v>
      </c>
      <c r="F29" s="7" t="s">
        <v>292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51</v>
      </c>
      <c r="T29" s="10" t="s">
        <v>51</v>
      </c>
      <c r="U29" s="10" t="s">
        <v>51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363</v>
      </c>
      <c r="B30" s="6" t="s">
        <v>471</v>
      </c>
      <c r="C30" s="6" t="s">
        <v>472</v>
      </c>
      <c r="D30" s="6" t="s">
        <v>769</v>
      </c>
      <c r="E30" s="7" t="s">
        <v>280</v>
      </c>
      <c r="F30" s="7" t="s">
        <v>295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293</v>
      </c>
      <c r="T30" s="10" t="s">
        <v>293</v>
      </c>
      <c r="U30" s="10" t="s">
        <v>51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364</v>
      </c>
      <c r="B31" s="6" t="s">
        <v>473</v>
      </c>
      <c r="C31" s="6" t="s">
        <v>474</v>
      </c>
      <c r="D31" s="6" t="s">
        <v>770</v>
      </c>
      <c r="E31" s="7" t="s">
        <v>281</v>
      </c>
      <c r="F31" s="7" t="s">
        <v>296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51</v>
      </c>
      <c r="T31" s="10" t="s">
        <v>293</v>
      </c>
      <c r="U31" s="10" t="s">
        <v>51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365</v>
      </c>
      <c r="B32" s="6" t="s">
        <v>475</v>
      </c>
      <c r="C32" s="6" t="s">
        <v>476</v>
      </c>
      <c r="D32" s="6" t="s">
        <v>771</v>
      </c>
      <c r="E32" s="7" t="s">
        <v>282</v>
      </c>
      <c r="F32" s="7" t="s">
        <v>297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52</v>
      </c>
      <c r="T32" s="10" t="s">
        <v>52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366</v>
      </c>
      <c r="B33" s="6" t="s">
        <v>477</v>
      </c>
      <c r="C33" s="6" t="s">
        <v>478</v>
      </c>
      <c r="D33" s="6" t="s">
        <v>772</v>
      </c>
      <c r="E33" s="7" t="s">
        <v>283</v>
      </c>
      <c r="F33" s="7" t="s">
        <v>299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298</v>
      </c>
      <c r="T33" s="10" t="s">
        <v>293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367</v>
      </c>
      <c r="B34" s="6" t="s">
        <v>479</v>
      </c>
      <c r="C34" s="6" t="s">
        <v>480</v>
      </c>
      <c r="D34" s="6" t="s">
        <v>773</v>
      </c>
      <c r="E34" s="7" t="s">
        <v>284</v>
      </c>
      <c r="F34" s="7" t="s">
        <v>299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298</v>
      </c>
      <c r="T34" s="10" t="s">
        <v>293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368</v>
      </c>
      <c r="B35" s="6" t="s">
        <v>481</v>
      </c>
      <c r="C35" s="6" t="s">
        <v>482</v>
      </c>
      <c r="D35" s="6" t="s">
        <v>774</v>
      </c>
      <c r="E35" s="7" t="s">
        <v>285</v>
      </c>
      <c r="F35" s="7" t="s">
        <v>299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298</v>
      </c>
      <c r="T35" s="10" t="s">
        <v>293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369</v>
      </c>
      <c r="B36" s="6" t="s">
        <v>483</v>
      </c>
      <c r="C36" s="6" t="s">
        <v>484</v>
      </c>
      <c r="D36" s="6" t="s">
        <v>775</v>
      </c>
      <c r="E36" s="7" t="s">
        <v>286</v>
      </c>
      <c r="F36" s="7" t="s">
        <v>299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298</v>
      </c>
      <c r="T36" s="10" t="s">
        <v>293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370</v>
      </c>
      <c r="B37" s="6" t="s">
        <v>485</v>
      </c>
      <c r="C37" s="6" t="s">
        <v>486</v>
      </c>
      <c r="D37" s="6" t="s">
        <v>776</v>
      </c>
      <c r="E37" s="7" t="s">
        <v>287</v>
      </c>
      <c r="F37" s="7" t="s">
        <v>300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293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492</v>
      </c>
      <c r="B38" s="6" t="s">
        <v>496</v>
      </c>
      <c r="C38" s="6" t="s">
        <v>497</v>
      </c>
      <c r="D38" s="6" t="s">
        <v>777</v>
      </c>
      <c r="E38" s="7" t="s">
        <v>487</v>
      </c>
      <c r="F38" s="7" t="s">
        <v>491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493</v>
      </c>
      <c r="B39" s="6" t="s">
        <v>498</v>
      </c>
      <c r="C39" s="6" t="s">
        <v>499</v>
      </c>
      <c r="D39" s="6" t="s">
        <v>778</v>
      </c>
      <c r="E39" s="7" t="s">
        <v>488</v>
      </c>
      <c r="F39" s="7" t="s">
        <v>504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494</v>
      </c>
      <c r="B40" s="6" t="s">
        <v>500</v>
      </c>
      <c r="C40" s="6" t="s">
        <v>501</v>
      </c>
      <c r="D40" s="6" t="s">
        <v>779</v>
      </c>
      <c r="E40" s="7" t="s">
        <v>489</v>
      </c>
      <c r="F40" s="7" t="s">
        <v>505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495</v>
      </c>
      <c r="B41" s="6" t="s">
        <v>502</v>
      </c>
      <c r="C41" s="6" t="s">
        <v>503</v>
      </c>
      <c r="D41" s="6" t="s">
        <v>780</v>
      </c>
      <c r="E41" s="7" t="s">
        <v>490</v>
      </c>
      <c r="F41" s="7" t="s">
        <v>506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521</v>
      </c>
      <c r="B42" s="6" t="s">
        <v>522</v>
      </c>
      <c r="C42" s="6" t="s">
        <v>523</v>
      </c>
      <c r="D42" s="6" t="s">
        <v>781</v>
      </c>
      <c r="E42" s="7" t="s">
        <v>508</v>
      </c>
      <c r="F42" s="7" t="s">
        <v>667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51</v>
      </c>
    </row>
    <row r="43" spans="1:28" x14ac:dyDescent="0.3">
      <c r="A43" s="6" t="s">
        <v>524</v>
      </c>
      <c r="B43" s="6" t="s">
        <v>525</v>
      </c>
      <c r="C43" s="6" t="s">
        <v>526</v>
      </c>
      <c r="D43" s="6" t="s">
        <v>782</v>
      </c>
      <c r="E43" s="7" t="s">
        <v>509</v>
      </c>
      <c r="F43" s="7" t="s">
        <v>668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51</v>
      </c>
    </row>
    <row r="44" spans="1:28" x14ac:dyDescent="0.3">
      <c r="A44" s="6" t="s">
        <v>527</v>
      </c>
      <c r="B44" s="6" t="s">
        <v>528</v>
      </c>
      <c r="C44" s="6" t="s">
        <v>529</v>
      </c>
      <c r="D44" s="6" t="s">
        <v>783</v>
      </c>
      <c r="E44" s="7" t="s">
        <v>510</v>
      </c>
      <c r="F44" s="7" t="s">
        <v>669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51</v>
      </c>
    </row>
    <row r="45" spans="1:28" x14ac:dyDescent="0.3">
      <c r="A45" s="6" t="s">
        <v>530</v>
      </c>
      <c r="B45" s="6" t="s">
        <v>531</v>
      </c>
      <c r="C45" s="6" t="s">
        <v>532</v>
      </c>
      <c r="D45" s="6" t="s">
        <v>784</v>
      </c>
      <c r="E45" s="7" t="s">
        <v>507</v>
      </c>
      <c r="F45" s="7" t="s">
        <v>670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52</v>
      </c>
    </row>
    <row r="46" spans="1:28" x14ac:dyDescent="0.3">
      <c r="A46" s="6" t="s">
        <v>533</v>
      </c>
      <c r="B46" s="6" t="s">
        <v>534</v>
      </c>
      <c r="C46" s="6" t="s">
        <v>535</v>
      </c>
      <c r="D46" s="6" t="s">
        <v>785</v>
      </c>
      <c r="E46" s="7" t="s">
        <v>511</v>
      </c>
      <c r="F46" s="7" t="s">
        <v>671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52</v>
      </c>
    </row>
    <row r="47" spans="1:28" x14ac:dyDescent="0.3">
      <c r="A47" s="6" t="s">
        <v>536</v>
      </c>
      <c r="B47" s="6" t="s">
        <v>537</v>
      </c>
      <c r="C47" s="6" t="s">
        <v>538</v>
      </c>
      <c r="D47" s="6" t="s">
        <v>786</v>
      </c>
      <c r="E47" s="7" t="s">
        <v>512</v>
      </c>
      <c r="F47" s="7" t="s">
        <v>672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52</v>
      </c>
    </row>
    <row r="48" spans="1:28" x14ac:dyDescent="0.3">
      <c r="A48" s="6" t="s">
        <v>539</v>
      </c>
      <c r="B48" s="6" t="s">
        <v>540</v>
      </c>
      <c r="C48" s="6" t="s">
        <v>541</v>
      </c>
      <c r="D48" s="6" t="s">
        <v>787</v>
      </c>
      <c r="E48" s="7" t="s">
        <v>513</v>
      </c>
      <c r="F48" s="7" t="s">
        <v>673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52</v>
      </c>
    </row>
    <row r="49" spans="1:20" x14ac:dyDescent="0.3">
      <c r="A49" s="6" t="s">
        <v>542</v>
      </c>
      <c r="B49" s="6" t="s">
        <v>543</v>
      </c>
      <c r="C49" s="6" t="s">
        <v>544</v>
      </c>
      <c r="D49" s="6" t="s">
        <v>788</v>
      </c>
      <c r="E49" s="7" t="s">
        <v>514</v>
      </c>
      <c r="F49" s="7" t="s">
        <v>674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52</v>
      </c>
    </row>
    <row r="50" spans="1:20" x14ac:dyDescent="0.3">
      <c r="A50" s="6" t="s">
        <v>545</v>
      </c>
      <c r="B50" s="6" t="s">
        <v>546</v>
      </c>
      <c r="C50" s="6" t="s">
        <v>547</v>
      </c>
      <c r="D50" s="6" t="s">
        <v>789</v>
      </c>
      <c r="E50" s="7" t="s">
        <v>515</v>
      </c>
      <c r="F50" s="7" t="s">
        <v>675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51</v>
      </c>
    </row>
    <row r="51" spans="1:20" x14ac:dyDescent="0.3">
      <c r="A51" s="6" t="s">
        <v>548</v>
      </c>
      <c r="B51" s="6" t="s">
        <v>549</v>
      </c>
      <c r="C51" s="6" t="s">
        <v>550</v>
      </c>
      <c r="D51" s="6" t="s">
        <v>790</v>
      </c>
      <c r="E51" s="7" t="s">
        <v>516</v>
      </c>
      <c r="F51" s="7" t="s">
        <v>676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50</v>
      </c>
    </row>
    <row r="52" spans="1:20" x14ac:dyDescent="0.3">
      <c r="A52" s="6" t="s">
        <v>551</v>
      </c>
      <c r="B52" s="6" t="s">
        <v>552</v>
      </c>
      <c r="C52" s="6" t="s">
        <v>553</v>
      </c>
      <c r="D52" s="6" t="s">
        <v>791</v>
      </c>
      <c r="E52" s="7" t="s">
        <v>517</v>
      </c>
      <c r="F52" s="7" t="s">
        <v>677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50</v>
      </c>
      <c r="T52" s="10" t="s">
        <v>51</v>
      </c>
    </row>
    <row r="53" spans="1:20" x14ac:dyDescent="0.3">
      <c r="A53" s="6" t="s">
        <v>554</v>
      </c>
      <c r="B53" s="6" t="s">
        <v>555</v>
      </c>
      <c r="C53" s="6" t="s">
        <v>556</v>
      </c>
      <c r="D53" s="6" t="s">
        <v>792</v>
      </c>
      <c r="E53" s="7" t="s">
        <v>518</v>
      </c>
      <c r="F53" s="7" t="s">
        <v>677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50</v>
      </c>
      <c r="T53" s="10" t="s">
        <v>51</v>
      </c>
    </row>
    <row r="54" spans="1:20" x14ac:dyDescent="0.3">
      <c r="A54" s="6" t="s">
        <v>557</v>
      </c>
      <c r="B54" s="6" t="s">
        <v>558</v>
      </c>
      <c r="C54" s="6" t="s">
        <v>559</v>
      </c>
      <c r="D54" s="6" t="s">
        <v>793</v>
      </c>
      <c r="E54" s="7" t="s">
        <v>519</v>
      </c>
      <c r="F54" s="7" t="s">
        <v>678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50</v>
      </c>
    </row>
    <row r="55" spans="1:20" x14ac:dyDescent="0.3">
      <c r="A55" s="6" t="s">
        <v>560</v>
      </c>
      <c r="B55" s="6" t="s">
        <v>561</v>
      </c>
      <c r="C55" s="6" t="s">
        <v>562</v>
      </c>
      <c r="D55" s="6" t="s">
        <v>794</v>
      </c>
      <c r="E55" s="7" t="s">
        <v>520</v>
      </c>
      <c r="F55" s="7" t="s">
        <v>680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51</v>
      </c>
    </row>
    <row r="56" spans="1:20" x14ac:dyDescent="0.3">
      <c r="A56" s="6" t="s">
        <v>585</v>
      </c>
      <c r="B56" s="6" t="s">
        <v>586</v>
      </c>
      <c r="C56" s="6" t="s">
        <v>587</v>
      </c>
      <c r="D56" s="6" t="s">
        <v>795</v>
      </c>
      <c r="E56" s="7" t="s">
        <v>563</v>
      </c>
      <c r="F56" s="7" t="s">
        <v>679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52</v>
      </c>
    </row>
    <row r="57" spans="1:20" x14ac:dyDescent="0.3">
      <c r="A57" s="6" t="s">
        <v>588</v>
      </c>
      <c r="B57" s="6" t="s">
        <v>589</v>
      </c>
      <c r="C57" s="6" t="s">
        <v>590</v>
      </c>
      <c r="D57" s="6" t="s">
        <v>796</v>
      </c>
      <c r="E57" s="7" t="s">
        <v>564</v>
      </c>
      <c r="F57" s="7" t="s">
        <v>681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52</v>
      </c>
    </row>
    <row r="58" spans="1:20" x14ac:dyDescent="0.3">
      <c r="A58" s="6" t="s">
        <v>591</v>
      </c>
      <c r="B58" s="6" t="s">
        <v>592</v>
      </c>
      <c r="C58" s="6" t="s">
        <v>593</v>
      </c>
      <c r="D58" s="6" t="s">
        <v>797</v>
      </c>
      <c r="E58" s="7" t="s">
        <v>565</v>
      </c>
      <c r="F58" s="7" t="s">
        <v>689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52</v>
      </c>
    </row>
    <row r="59" spans="1:20" x14ac:dyDescent="0.3">
      <c r="A59" s="6" t="s">
        <v>594</v>
      </c>
      <c r="B59" s="6" t="s">
        <v>595</v>
      </c>
      <c r="C59" s="6" t="s">
        <v>596</v>
      </c>
      <c r="D59" s="6" t="s">
        <v>798</v>
      </c>
      <c r="E59" s="7" t="s">
        <v>566</v>
      </c>
      <c r="F59" s="7" t="s">
        <v>682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51</v>
      </c>
    </row>
    <row r="60" spans="1:20" x14ac:dyDescent="0.3">
      <c r="A60" s="6" t="s">
        <v>597</v>
      </c>
      <c r="B60" s="6" t="s">
        <v>598</v>
      </c>
      <c r="C60" s="6" t="s">
        <v>599</v>
      </c>
      <c r="D60" s="6" t="s">
        <v>799</v>
      </c>
      <c r="E60" s="7" t="s">
        <v>567</v>
      </c>
      <c r="F60" s="7" t="s">
        <v>683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50</v>
      </c>
    </row>
    <row r="61" spans="1:20" x14ac:dyDescent="0.3">
      <c r="A61" s="6" t="s">
        <v>600</v>
      </c>
      <c r="B61" s="6" t="s">
        <v>601</v>
      </c>
      <c r="C61" s="6" t="s">
        <v>602</v>
      </c>
      <c r="D61" s="6" t="s">
        <v>800</v>
      </c>
      <c r="E61" s="7" t="s">
        <v>571</v>
      </c>
      <c r="F61" s="7" t="s">
        <v>684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51</v>
      </c>
      <c r="T61" s="10" t="s">
        <v>51</v>
      </c>
    </row>
    <row r="62" spans="1:20" x14ac:dyDescent="0.3">
      <c r="A62" s="6" t="s">
        <v>603</v>
      </c>
      <c r="B62" s="6" t="s">
        <v>604</v>
      </c>
      <c r="C62" s="6" t="s">
        <v>605</v>
      </c>
      <c r="D62" s="6" t="s">
        <v>801</v>
      </c>
      <c r="E62" s="7" t="s">
        <v>568</v>
      </c>
      <c r="F62" s="7" t="s">
        <v>685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51</v>
      </c>
    </row>
    <row r="63" spans="1:20" x14ac:dyDescent="0.3">
      <c r="A63" s="6" t="s">
        <v>606</v>
      </c>
      <c r="B63" s="6" t="s">
        <v>607</v>
      </c>
      <c r="C63" s="6" t="s">
        <v>608</v>
      </c>
      <c r="D63" s="6" t="s">
        <v>802</v>
      </c>
      <c r="E63" s="7" t="s">
        <v>569</v>
      </c>
      <c r="F63" s="7" t="s">
        <v>572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609</v>
      </c>
      <c r="B64" s="6" t="s">
        <v>610</v>
      </c>
      <c r="C64" s="6" t="s">
        <v>611</v>
      </c>
      <c r="D64" s="6" t="s">
        <v>803</v>
      </c>
      <c r="E64" s="7" t="s">
        <v>570</v>
      </c>
      <c r="F64" s="7" t="s">
        <v>686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50</v>
      </c>
      <c r="T64" s="10" t="s">
        <v>51</v>
      </c>
    </row>
    <row r="65" spans="1:20" x14ac:dyDescent="0.3">
      <c r="A65" s="6" t="s">
        <v>612</v>
      </c>
      <c r="B65" s="6" t="s">
        <v>613</v>
      </c>
      <c r="C65" s="6" t="s">
        <v>614</v>
      </c>
      <c r="D65" s="6" t="s">
        <v>804</v>
      </c>
      <c r="E65" s="7" t="s">
        <v>573</v>
      </c>
      <c r="F65" s="7" t="s">
        <v>687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52</v>
      </c>
      <c r="T65" s="10" t="s">
        <v>293</v>
      </c>
    </row>
    <row r="66" spans="1:20" x14ac:dyDescent="0.3">
      <c r="A66" s="6" t="s">
        <v>615</v>
      </c>
      <c r="B66" s="6" t="s">
        <v>616</v>
      </c>
      <c r="C66" s="6" t="s">
        <v>617</v>
      </c>
      <c r="D66" s="6" t="s">
        <v>805</v>
      </c>
      <c r="E66" s="7" t="s">
        <v>574</v>
      </c>
      <c r="F66" s="7" t="s">
        <v>688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298</v>
      </c>
    </row>
    <row r="67" spans="1:20" x14ac:dyDescent="0.3">
      <c r="A67" s="6" t="s">
        <v>618</v>
      </c>
      <c r="B67" s="6" t="s">
        <v>619</v>
      </c>
      <c r="C67" s="6" t="s">
        <v>620</v>
      </c>
      <c r="D67" s="6" t="s">
        <v>806</v>
      </c>
      <c r="E67" s="7" t="s">
        <v>575</v>
      </c>
      <c r="F67" s="7" t="s">
        <v>690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52</v>
      </c>
    </row>
    <row r="68" spans="1:20" x14ac:dyDescent="0.3">
      <c r="A68" s="6" t="s">
        <v>621</v>
      </c>
      <c r="B68" s="6" t="s">
        <v>622</v>
      </c>
      <c r="C68" s="6" t="s">
        <v>623</v>
      </c>
      <c r="D68" s="6" t="s">
        <v>807</v>
      </c>
      <c r="E68" s="7" t="s">
        <v>576</v>
      </c>
      <c r="F68" s="7" t="s">
        <v>584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624</v>
      </c>
      <c r="B69" s="6" t="s">
        <v>625</v>
      </c>
      <c r="C69" s="6" t="s">
        <v>626</v>
      </c>
      <c r="D69" s="6" t="s">
        <v>808</v>
      </c>
      <c r="E69" s="7" t="s">
        <v>577</v>
      </c>
      <c r="F69" s="7" t="s">
        <v>691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50</v>
      </c>
    </row>
    <row r="70" spans="1:20" x14ac:dyDescent="0.3">
      <c r="A70" s="6" t="s">
        <v>627</v>
      </c>
      <c r="B70" s="6" t="s">
        <v>628</v>
      </c>
      <c r="C70" s="6" t="s">
        <v>629</v>
      </c>
      <c r="D70" s="6" t="s">
        <v>809</v>
      </c>
      <c r="E70" s="7" t="s">
        <v>578</v>
      </c>
      <c r="F70" s="7" t="s">
        <v>692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51</v>
      </c>
    </row>
    <row r="71" spans="1:20" x14ac:dyDescent="0.3">
      <c r="A71" s="6" t="s">
        <v>630</v>
      </c>
      <c r="B71" s="6" t="s">
        <v>631</v>
      </c>
      <c r="C71" s="6" t="s">
        <v>632</v>
      </c>
      <c r="D71" s="6" t="s">
        <v>810</v>
      </c>
      <c r="E71" s="7" t="s">
        <v>579</v>
      </c>
      <c r="F71" s="7" t="s">
        <v>693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51</v>
      </c>
    </row>
    <row r="72" spans="1:20" x14ac:dyDescent="0.3">
      <c r="A72" s="6" t="s">
        <v>633</v>
      </c>
      <c r="B72" s="6" t="s">
        <v>634</v>
      </c>
      <c r="C72" s="6" t="s">
        <v>635</v>
      </c>
      <c r="D72" s="6" t="s">
        <v>811</v>
      </c>
      <c r="E72" s="7" t="s">
        <v>580</v>
      </c>
      <c r="F72" s="7" t="s">
        <v>694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695</v>
      </c>
    </row>
    <row r="73" spans="1:20" x14ac:dyDescent="0.3">
      <c r="A73" s="6" t="s">
        <v>636</v>
      </c>
      <c r="B73" s="6" t="s">
        <v>637</v>
      </c>
      <c r="C73" s="6" t="s">
        <v>638</v>
      </c>
      <c r="D73" s="6" t="s">
        <v>812</v>
      </c>
      <c r="E73" s="7" t="s">
        <v>581</v>
      </c>
      <c r="F73" s="7" t="s">
        <v>583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639</v>
      </c>
      <c r="B74" s="6" t="s">
        <v>640</v>
      </c>
      <c r="C74" s="6" t="s">
        <v>641</v>
      </c>
      <c r="D74" s="6" t="s">
        <v>813</v>
      </c>
      <c r="E74" s="7" t="s">
        <v>582</v>
      </c>
      <c r="F74" s="7" t="s">
        <v>696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50</v>
      </c>
      <c r="T74" s="10" t="s">
        <v>51</v>
      </c>
    </row>
    <row r="75" spans="1:20" x14ac:dyDescent="0.3">
      <c r="A75" s="6" t="s">
        <v>648</v>
      </c>
      <c r="B75" s="6" t="s">
        <v>649</v>
      </c>
      <c r="C75" s="6" t="s">
        <v>650</v>
      </c>
      <c r="D75" s="6" t="s">
        <v>814</v>
      </c>
      <c r="E75" s="7" t="s">
        <v>642</v>
      </c>
      <c r="F75" s="7" t="s">
        <v>697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293</v>
      </c>
      <c r="T75" s="10" t="s">
        <v>293</v>
      </c>
    </row>
    <row r="76" spans="1:20" x14ac:dyDescent="0.3">
      <c r="A76" s="6" t="s">
        <v>651</v>
      </c>
      <c r="B76" s="6" t="s">
        <v>652</v>
      </c>
      <c r="C76" s="6" t="s">
        <v>653</v>
      </c>
      <c r="D76" s="6" t="s">
        <v>815</v>
      </c>
      <c r="E76" s="7" t="s">
        <v>643</v>
      </c>
      <c r="F76" s="7" t="s">
        <v>698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298</v>
      </c>
    </row>
    <row r="77" spans="1:20" x14ac:dyDescent="0.3">
      <c r="A77" s="6" t="s">
        <v>654</v>
      </c>
      <c r="B77" s="6" t="s">
        <v>655</v>
      </c>
      <c r="C77" s="6" t="s">
        <v>656</v>
      </c>
      <c r="D77" s="6" t="s">
        <v>816</v>
      </c>
      <c r="E77" s="7" t="s">
        <v>644</v>
      </c>
      <c r="F77" s="7" t="s">
        <v>699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51</v>
      </c>
    </row>
    <row r="78" spans="1:20" x14ac:dyDescent="0.3">
      <c r="A78" s="6" t="s">
        <v>657</v>
      </c>
      <c r="B78" s="6" t="s">
        <v>658</v>
      </c>
      <c r="C78" s="6" t="s">
        <v>659</v>
      </c>
      <c r="D78" s="6" t="s">
        <v>817</v>
      </c>
      <c r="E78" s="7" t="s">
        <v>645</v>
      </c>
      <c r="F78" s="7" t="s">
        <v>666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660</v>
      </c>
      <c r="B79" s="6" t="s">
        <v>661</v>
      </c>
      <c r="C79" s="6" t="s">
        <v>662</v>
      </c>
      <c r="D79" s="6" t="s">
        <v>818</v>
      </c>
      <c r="E79" s="7" t="s">
        <v>646</v>
      </c>
      <c r="F79" s="7" t="s">
        <v>700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51</v>
      </c>
      <c r="T79" s="10" t="s">
        <v>51</v>
      </c>
    </row>
    <row r="80" spans="1:20" x14ac:dyDescent="0.3">
      <c r="A80" s="6" t="s">
        <v>663</v>
      </c>
      <c r="B80" s="6" t="s">
        <v>664</v>
      </c>
      <c r="C80" s="6" t="s">
        <v>665</v>
      </c>
      <c r="D80" s="6" t="s">
        <v>819</v>
      </c>
      <c r="E80" s="7" t="s">
        <v>647</v>
      </c>
      <c r="F80" s="7" t="s">
        <v>701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50</v>
      </c>
      <c r="T80" s="10" t="s">
        <v>51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AA17"/>
  <sheetViews>
    <sheetView topLeftCell="G1" workbookViewId="0">
      <selection activeCell="C24" sqref="C24"/>
    </sheetView>
  </sheetViews>
  <sheetFormatPr defaultRowHeight="12" x14ac:dyDescent="0.3"/>
  <cols>
    <col min="1" max="1" width="9" style="3"/>
    <col min="2" max="2" width="13" style="3" bestFit="1" customWidth="1"/>
    <col min="3" max="3" width="80.875" style="26" bestFit="1" customWidth="1"/>
    <col min="4" max="13" width="9" style="3"/>
    <col min="14" max="14" width="2.875" style="17" customWidth="1"/>
    <col min="15" max="15" width="9" style="1"/>
    <col min="16" max="16" width="12.125" style="1" bestFit="1" customWidth="1"/>
    <col min="17" max="17" width="52.375" style="1" bestFit="1" customWidth="1"/>
    <col min="18" max="18" width="17.75" style="1" bestFit="1" customWidth="1"/>
    <col min="19" max="19" width="16.125" style="1" bestFit="1" customWidth="1"/>
    <col min="20" max="20" width="14.375" style="1" bestFit="1" customWidth="1"/>
    <col min="21" max="26" width="9" style="1"/>
    <col min="27" max="27" width="12.75" style="1" bestFit="1" customWidth="1"/>
    <col min="28" max="16384" width="9" style="1"/>
  </cols>
  <sheetData>
    <row r="1" spans="1:27" s="11" customFormat="1" x14ac:dyDescent="0.3">
      <c r="A1" s="2" t="s">
        <v>91</v>
      </c>
      <c r="B1" s="2" t="s">
        <v>1116</v>
      </c>
      <c r="C1" s="25" t="s">
        <v>21</v>
      </c>
      <c r="D1" s="2" t="s">
        <v>130</v>
      </c>
      <c r="E1" s="2" t="s">
        <v>131</v>
      </c>
      <c r="F1" s="2" t="s">
        <v>132</v>
      </c>
      <c r="G1" s="2" t="s">
        <v>133</v>
      </c>
      <c r="H1" s="2" t="s">
        <v>134</v>
      </c>
      <c r="I1" s="2" t="s">
        <v>135</v>
      </c>
      <c r="J1" s="2" t="s">
        <v>136</v>
      </c>
      <c r="K1" s="2" t="s">
        <v>137</v>
      </c>
      <c r="L1" s="2" t="s">
        <v>138</v>
      </c>
      <c r="M1" s="2" t="s">
        <v>20</v>
      </c>
      <c r="N1" s="12"/>
    </row>
    <row r="2" spans="1:27" x14ac:dyDescent="0.3">
      <c r="A2" s="3">
        <v>101</v>
      </c>
      <c r="B2" s="3">
        <v>1</v>
      </c>
      <c r="C2" s="26" t="s">
        <v>371</v>
      </c>
      <c r="D2" s="3">
        <v>5</v>
      </c>
      <c r="E2" s="3">
        <v>3300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</row>
    <row r="3" spans="1:27" x14ac:dyDescent="0.3">
      <c r="A3" s="3">
        <v>102</v>
      </c>
      <c r="B3" s="3">
        <v>1</v>
      </c>
      <c r="C3" s="26" t="s">
        <v>371</v>
      </c>
      <c r="D3" s="3">
        <v>7</v>
      </c>
      <c r="E3" s="3">
        <v>5000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P3" s="34" t="s">
        <v>1117</v>
      </c>
      <c r="Q3" s="34"/>
      <c r="R3" s="34"/>
      <c r="S3" s="34"/>
      <c r="T3" s="34"/>
    </row>
    <row r="4" spans="1:27" x14ac:dyDescent="0.3">
      <c r="A4" s="3">
        <v>103</v>
      </c>
      <c r="B4" s="31">
        <v>4</v>
      </c>
      <c r="C4" s="26" t="s">
        <v>1187</v>
      </c>
      <c r="D4" s="3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P4" s="32" t="s">
        <v>1122</v>
      </c>
      <c r="Q4" s="32" t="s">
        <v>1118</v>
      </c>
      <c r="R4" s="32" t="s">
        <v>1119</v>
      </c>
      <c r="S4" s="32" t="s">
        <v>1120</v>
      </c>
      <c r="T4" s="32" t="s">
        <v>1121</v>
      </c>
      <c r="V4" s="34" t="s">
        <v>1144</v>
      </c>
      <c r="W4" s="34"/>
      <c r="X4" s="34" t="s">
        <v>1146</v>
      </c>
      <c r="Y4" s="34"/>
      <c r="Z4" s="34" t="s">
        <v>1153</v>
      </c>
      <c r="AA4" s="34"/>
    </row>
    <row r="5" spans="1:27" x14ac:dyDescent="0.3">
      <c r="A5" s="3">
        <v>104</v>
      </c>
      <c r="B5" s="31">
        <v>5</v>
      </c>
      <c r="C5" s="26" t="s">
        <v>1188</v>
      </c>
      <c r="D5" s="3">
        <v>1</v>
      </c>
      <c r="E5" s="10">
        <v>1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P5" s="31">
        <v>1</v>
      </c>
      <c r="Q5" s="31" t="s">
        <v>1123</v>
      </c>
      <c r="R5" s="31" t="s">
        <v>1124</v>
      </c>
      <c r="S5" s="31" t="s">
        <v>1125</v>
      </c>
      <c r="T5" s="31"/>
      <c r="V5" s="31">
        <v>1</v>
      </c>
      <c r="W5" s="31" t="s">
        <v>1145</v>
      </c>
      <c r="X5" s="31">
        <v>1</v>
      </c>
      <c r="Y5" s="31" t="s">
        <v>1147</v>
      </c>
      <c r="Z5" s="31">
        <v>1</v>
      </c>
      <c r="AA5" s="31" t="s">
        <v>1154</v>
      </c>
    </row>
    <row r="6" spans="1:27" x14ac:dyDescent="0.3">
      <c r="A6" s="3">
        <v>105</v>
      </c>
      <c r="B6" s="31">
        <v>6</v>
      </c>
      <c r="C6" s="26" t="s">
        <v>1189</v>
      </c>
      <c r="D6" s="3">
        <v>2</v>
      </c>
      <c r="E6" s="10">
        <v>10000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P6" s="31">
        <v>2</v>
      </c>
      <c r="Q6" s="31" t="s">
        <v>1126</v>
      </c>
      <c r="R6" s="31" t="s">
        <v>1125</v>
      </c>
      <c r="S6" s="31"/>
      <c r="T6" s="31"/>
      <c r="V6" s="31">
        <v>2</v>
      </c>
      <c r="W6" s="31"/>
      <c r="X6" s="31">
        <v>2</v>
      </c>
      <c r="Y6" s="31">
        <v>0</v>
      </c>
      <c r="Z6" s="31">
        <v>2</v>
      </c>
      <c r="AA6" s="31" t="s">
        <v>1155</v>
      </c>
    </row>
    <row r="7" spans="1:27" x14ac:dyDescent="0.3">
      <c r="A7" s="3">
        <v>106</v>
      </c>
      <c r="B7" s="31">
        <v>7</v>
      </c>
      <c r="C7" s="26" t="s">
        <v>1190</v>
      </c>
      <c r="D7" s="3">
        <v>2</v>
      </c>
      <c r="E7" s="10">
        <v>10000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P7" s="33">
        <v>3</v>
      </c>
      <c r="Q7" s="33" t="s">
        <v>1127</v>
      </c>
      <c r="R7" s="33" t="s">
        <v>1125</v>
      </c>
      <c r="S7" s="33"/>
      <c r="T7" s="33"/>
      <c r="V7" s="31">
        <v>3</v>
      </c>
      <c r="W7" s="31"/>
      <c r="X7" s="31">
        <v>3</v>
      </c>
      <c r="Y7" s="31" t="s">
        <v>1148</v>
      </c>
      <c r="Z7" s="31">
        <v>3</v>
      </c>
      <c r="AA7" s="31" t="s">
        <v>1156</v>
      </c>
    </row>
    <row r="8" spans="1:27" x14ac:dyDescent="0.3">
      <c r="A8" s="3">
        <v>107</v>
      </c>
      <c r="B8" s="31">
        <v>8</v>
      </c>
      <c r="C8" s="26" t="s">
        <v>1191</v>
      </c>
      <c r="D8" s="3">
        <v>2</v>
      </c>
      <c r="E8" s="10">
        <v>10000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P8" s="31">
        <v>4</v>
      </c>
      <c r="Q8" s="31" t="s">
        <v>1128</v>
      </c>
      <c r="R8" s="31" t="s">
        <v>372</v>
      </c>
      <c r="S8" s="31"/>
      <c r="T8" s="31"/>
      <c r="X8" s="31">
        <v>4</v>
      </c>
      <c r="Y8" s="31" t="s">
        <v>1149</v>
      </c>
      <c r="Z8" s="31">
        <v>4</v>
      </c>
      <c r="AA8" s="31" t="s">
        <v>1157</v>
      </c>
    </row>
    <row r="9" spans="1:27" x14ac:dyDescent="0.3">
      <c r="A9" s="3">
        <v>108</v>
      </c>
      <c r="B9" s="3">
        <v>10</v>
      </c>
      <c r="C9" s="26" t="s">
        <v>1192</v>
      </c>
      <c r="D9" s="3">
        <v>3</v>
      </c>
      <c r="E9" s="3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P9" s="31">
        <v>5</v>
      </c>
      <c r="Q9" s="31" t="s">
        <v>1129</v>
      </c>
      <c r="R9" s="31" t="s">
        <v>1130</v>
      </c>
      <c r="S9" s="31" t="s">
        <v>372</v>
      </c>
      <c r="T9" s="31"/>
      <c r="X9" s="31">
        <v>5</v>
      </c>
      <c r="Y9" s="31" t="s">
        <v>1150</v>
      </c>
      <c r="Z9" s="31">
        <v>5</v>
      </c>
      <c r="AA9" s="31" t="s">
        <v>1158</v>
      </c>
    </row>
    <row r="10" spans="1:27" x14ac:dyDescent="0.3">
      <c r="A10" s="3">
        <v>109</v>
      </c>
      <c r="B10" s="3">
        <v>11</v>
      </c>
      <c r="C10" s="26" t="s">
        <v>1193</v>
      </c>
      <c r="D10" s="3">
        <v>1</v>
      </c>
      <c r="E10" s="10">
        <v>7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P10" s="31">
        <v>6</v>
      </c>
      <c r="Q10" s="31" t="s">
        <v>1135</v>
      </c>
      <c r="R10" s="31" t="s">
        <v>372</v>
      </c>
      <c r="S10" s="31" t="s">
        <v>1125</v>
      </c>
      <c r="T10" s="31"/>
      <c r="X10" s="31">
        <v>6</v>
      </c>
      <c r="Y10" s="31" t="s">
        <v>262</v>
      </c>
      <c r="Z10" s="31">
        <v>6</v>
      </c>
      <c r="AA10" s="31" t="s">
        <v>1159</v>
      </c>
    </row>
    <row r="11" spans="1:27" x14ac:dyDescent="0.3">
      <c r="A11" s="3">
        <v>110</v>
      </c>
      <c r="B11" s="3">
        <v>12</v>
      </c>
      <c r="C11" s="26" t="s">
        <v>1194</v>
      </c>
      <c r="D11" s="3">
        <v>1</v>
      </c>
      <c r="E11" s="3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P11" s="31">
        <v>7</v>
      </c>
      <c r="Q11" s="31" t="s">
        <v>1136</v>
      </c>
      <c r="R11" s="31" t="s">
        <v>372</v>
      </c>
      <c r="S11" s="31" t="s">
        <v>1125</v>
      </c>
      <c r="T11" s="31"/>
      <c r="X11" s="31">
        <v>7</v>
      </c>
      <c r="Y11" s="31" t="s">
        <v>264</v>
      </c>
      <c r="Z11" s="31">
        <v>7</v>
      </c>
      <c r="AA11" s="31" t="s">
        <v>1160</v>
      </c>
    </row>
    <row r="12" spans="1:27" x14ac:dyDescent="0.3">
      <c r="A12" s="3">
        <v>111</v>
      </c>
      <c r="B12" s="3">
        <v>13</v>
      </c>
      <c r="C12" s="26" t="s">
        <v>1195</v>
      </c>
      <c r="D12" s="3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P12" s="31">
        <v>8</v>
      </c>
      <c r="Q12" s="31" t="s">
        <v>1137</v>
      </c>
      <c r="R12" s="31" t="s">
        <v>372</v>
      </c>
      <c r="S12" s="31" t="s">
        <v>1125</v>
      </c>
      <c r="T12" s="31"/>
      <c r="X12" s="31">
        <v>8</v>
      </c>
      <c r="Y12" s="31" t="s">
        <v>266</v>
      </c>
    </row>
    <row r="13" spans="1:27" x14ac:dyDescent="0.3">
      <c r="A13" s="3">
        <v>112</v>
      </c>
      <c r="B13" s="3">
        <v>2</v>
      </c>
      <c r="C13" s="26" t="s">
        <v>1196</v>
      </c>
      <c r="D13" s="3">
        <v>10000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P13" s="33">
        <v>9</v>
      </c>
      <c r="Q13" s="33" t="s">
        <v>1131</v>
      </c>
      <c r="R13" s="33" t="s">
        <v>1132</v>
      </c>
      <c r="S13" s="33"/>
      <c r="T13" s="33"/>
      <c r="X13" s="31">
        <v>9</v>
      </c>
      <c r="Y13" s="31" t="s">
        <v>1151</v>
      </c>
    </row>
    <row r="14" spans="1:27" x14ac:dyDescent="0.3">
      <c r="P14" s="31">
        <v>10</v>
      </c>
      <c r="Q14" s="31" t="s">
        <v>1133</v>
      </c>
      <c r="R14" s="31" t="s">
        <v>1134</v>
      </c>
      <c r="S14" s="31"/>
      <c r="T14" s="31"/>
      <c r="X14" s="31">
        <v>10</v>
      </c>
      <c r="Y14" s="31" t="s">
        <v>1152</v>
      </c>
    </row>
    <row r="15" spans="1:27" x14ac:dyDescent="0.3">
      <c r="P15" s="31">
        <v>11</v>
      </c>
      <c r="Q15" s="31" t="s">
        <v>1138</v>
      </c>
      <c r="R15" s="31" t="s">
        <v>1134</v>
      </c>
      <c r="S15" s="31" t="s">
        <v>1139</v>
      </c>
      <c r="T15" s="31" t="s">
        <v>1140</v>
      </c>
    </row>
    <row r="16" spans="1:27" x14ac:dyDescent="0.3">
      <c r="P16" s="31">
        <v>12</v>
      </c>
      <c r="Q16" s="31" t="s">
        <v>1141</v>
      </c>
      <c r="R16" s="31" t="s">
        <v>1134</v>
      </c>
      <c r="S16" s="31" t="s">
        <v>1142</v>
      </c>
      <c r="T16" s="31"/>
    </row>
    <row r="17" spans="16:20" x14ac:dyDescent="0.3">
      <c r="P17" s="31">
        <v>13</v>
      </c>
      <c r="Q17" s="31" t="s">
        <v>1143</v>
      </c>
      <c r="R17" s="31" t="s">
        <v>1130</v>
      </c>
      <c r="S17" s="31"/>
      <c r="T17" s="31"/>
    </row>
  </sheetData>
  <mergeCells count="4">
    <mergeCell ref="P3:T3"/>
    <mergeCell ref="V4:W4"/>
    <mergeCell ref="X4:Y4"/>
    <mergeCell ref="Z4:AA4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E8" sqref="E8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91</v>
      </c>
      <c r="B1" s="2" t="s">
        <v>373</v>
      </c>
      <c r="C1" s="2" t="s">
        <v>374</v>
      </c>
      <c r="D1" s="2" t="s">
        <v>375</v>
      </c>
      <c r="E1" s="2" t="s">
        <v>397</v>
      </c>
      <c r="F1" s="25" t="s">
        <v>10</v>
      </c>
      <c r="G1" s="25" t="s">
        <v>21</v>
      </c>
      <c r="H1" s="2" t="s">
        <v>130</v>
      </c>
      <c r="I1" s="2" t="s">
        <v>131</v>
      </c>
      <c r="J1" s="2" t="s">
        <v>132</v>
      </c>
      <c r="K1" s="2" t="s">
        <v>133</v>
      </c>
      <c r="L1" s="2" t="s">
        <v>134</v>
      </c>
      <c r="M1" s="2" t="s">
        <v>135</v>
      </c>
      <c r="N1" s="2" t="s">
        <v>136</v>
      </c>
      <c r="O1" s="2" t="s">
        <v>137</v>
      </c>
      <c r="P1" s="2" t="s">
        <v>138</v>
      </c>
      <c r="Q1" s="2" t="s">
        <v>20</v>
      </c>
      <c r="R1" s="12"/>
      <c r="S1" s="2" t="s">
        <v>130</v>
      </c>
      <c r="T1" s="2" t="s">
        <v>131</v>
      </c>
      <c r="U1" s="2" t="s">
        <v>132</v>
      </c>
      <c r="V1" s="2" t="s">
        <v>133</v>
      </c>
      <c r="W1" s="2" t="s">
        <v>134</v>
      </c>
      <c r="X1" s="2" t="s">
        <v>135</v>
      </c>
      <c r="Y1" s="2" t="s">
        <v>136</v>
      </c>
      <c r="Z1" s="2" t="s">
        <v>137</v>
      </c>
      <c r="AA1" s="2" t="s">
        <v>138</v>
      </c>
      <c r="AB1" s="2" t="s">
        <v>20</v>
      </c>
    </row>
    <row r="2" spans="1:28" x14ac:dyDescent="0.3">
      <c r="A2" s="3">
        <v>1</v>
      </c>
      <c r="B2" s="3">
        <v>1</v>
      </c>
      <c r="C2" s="3" t="s">
        <v>386</v>
      </c>
      <c r="D2" s="3" t="s">
        <v>376</v>
      </c>
      <c r="E2" s="3" t="s">
        <v>1049</v>
      </c>
      <c r="F2" s="26" t="s">
        <v>274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387</v>
      </c>
      <c r="D3" s="3" t="s">
        <v>377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388</v>
      </c>
      <c r="D4" s="3" t="s">
        <v>378</v>
      </c>
      <c r="E4" s="3" t="s">
        <v>1045</v>
      </c>
      <c r="F4" s="26" t="s">
        <v>269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389</v>
      </c>
      <c r="D5" s="3" t="s">
        <v>379</v>
      </c>
      <c r="E5" s="3" t="s">
        <v>1042</v>
      </c>
      <c r="F5" s="26" t="s">
        <v>270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390</v>
      </c>
      <c r="D6" s="3" t="s">
        <v>380</v>
      </c>
      <c r="E6" s="3" t="s">
        <v>1044</v>
      </c>
      <c r="F6" s="26" t="s">
        <v>271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391</v>
      </c>
      <c r="D7" s="3" t="s">
        <v>381</v>
      </c>
      <c r="E7" s="3" t="s">
        <v>1048</v>
      </c>
      <c r="F7" s="26" t="s">
        <v>263</v>
      </c>
      <c r="G7" s="26" t="s">
        <v>396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406</v>
      </c>
      <c r="T7" s="3" t="s">
        <v>407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392</v>
      </c>
      <c r="D8" s="3" t="s">
        <v>382</v>
      </c>
      <c r="E8" s="3">
        <v>0</v>
      </c>
      <c r="F8" s="26" t="s">
        <v>265</v>
      </c>
      <c r="G8" s="26" t="s">
        <v>398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372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393</v>
      </c>
      <c r="D9" s="3" t="s">
        <v>383</v>
      </c>
      <c r="E9" s="3" t="s">
        <v>1043</v>
      </c>
      <c r="F9" s="26" t="s">
        <v>267</v>
      </c>
      <c r="G9" s="26" t="s">
        <v>405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394</v>
      </c>
      <c r="D10" s="3" t="s">
        <v>384</v>
      </c>
      <c r="E10" s="3" t="s">
        <v>1047</v>
      </c>
      <c r="F10" s="26" t="s">
        <v>273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395</v>
      </c>
      <c r="D11" s="3" t="s">
        <v>385</v>
      </c>
      <c r="E11" s="3" t="s">
        <v>1046</v>
      </c>
      <c r="F11" s="26" t="s">
        <v>272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topLeftCell="A4"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702</v>
      </c>
      <c r="B1" s="3" t="s">
        <v>703</v>
      </c>
      <c r="C1" s="3" t="s">
        <v>704</v>
      </c>
      <c r="D1" s="3" t="s">
        <v>705</v>
      </c>
      <c r="E1" s="3" t="s">
        <v>946</v>
      </c>
      <c r="F1" s="3" t="s">
        <v>948</v>
      </c>
      <c r="G1" s="3" t="s">
        <v>706</v>
      </c>
    </row>
    <row r="2" spans="1:12" x14ac:dyDescent="0.3">
      <c r="A2" s="3" t="s">
        <v>824</v>
      </c>
      <c r="B2" s="3" t="s">
        <v>825</v>
      </c>
      <c r="C2" s="3" t="s">
        <v>707</v>
      </c>
      <c r="D2" s="3">
        <v>100</v>
      </c>
      <c r="E2" s="3">
        <v>3</v>
      </c>
      <c r="F2" s="3">
        <v>1</v>
      </c>
      <c r="G2" s="3">
        <v>0</v>
      </c>
      <c r="J2" s="38" t="s">
        <v>821</v>
      </c>
      <c r="K2" s="39"/>
      <c r="L2" s="40"/>
    </row>
    <row r="3" spans="1:12" x14ac:dyDescent="0.3">
      <c r="A3" s="3" t="s">
        <v>895</v>
      </c>
      <c r="B3" s="3" t="s">
        <v>896</v>
      </c>
      <c r="C3" s="3" t="s">
        <v>897</v>
      </c>
      <c r="D3" s="3">
        <v>101</v>
      </c>
      <c r="E3" s="3">
        <v>3</v>
      </c>
      <c r="F3" s="3">
        <v>1</v>
      </c>
      <c r="G3" s="3" t="s">
        <v>898</v>
      </c>
      <c r="J3" s="2" t="s">
        <v>85</v>
      </c>
      <c r="K3" s="2" t="s">
        <v>86</v>
      </c>
      <c r="L3" s="2" t="s">
        <v>87</v>
      </c>
    </row>
    <row r="4" spans="1:12" x14ac:dyDescent="0.3">
      <c r="A4" s="3" t="s">
        <v>904</v>
      </c>
      <c r="B4" s="3" t="s">
        <v>909</v>
      </c>
      <c r="C4" s="3" t="s">
        <v>910</v>
      </c>
      <c r="D4" s="3">
        <v>102</v>
      </c>
      <c r="E4" s="3">
        <v>3</v>
      </c>
      <c r="F4" s="3">
        <v>1</v>
      </c>
      <c r="G4" s="3" t="s">
        <v>911</v>
      </c>
      <c r="J4" s="2" t="s">
        <v>708</v>
      </c>
      <c r="K4" s="6" t="s">
        <v>709</v>
      </c>
      <c r="L4" s="6" t="s">
        <v>88</v>
      </c>
    </row>
    <row r="5" spans="1:12" x14ac:dyDescent="0.3">
      <c r="J5" s="2" t="s">
        <v>710</v>
      </c>
      <c r="K5" s="6" t="s">
        <v>711</v>
      </c>
      <c r="L5" s="6" t="s">
        <v>88</v>
      </c>
    </row>
    <row r="6" spans="1:12" x14ac:dyDescent="0.3">
      <c r="J6" s="2" t="s">
        <v>712</v>
      </c>
      <c r="K6" s="6" t="s">
        <v>713</v>
      </c>
      <c r="L6" s="6" t="s">
        <v>96</v>
      </c>
    </row>
    <row r="7" spans="1:12" x14ac:dyDescent="0.3">
      <c r="J7" s="2" t="s">
        <v>714</v>
      </c>
      <c r="K7" s="6" t="s">
        <v>715</v>
      </c>
      <c r="L7" s="6" t="s">
        <v>921</v>
      </c>
    </row>
    <row r="8" spans="1:12" x14ac:dyDescent="0.3">
      <c r="J8" s="2" t="s">
        <v>945</v>
      </c>
      <c r="K8" s="6" t="s">
        <v>949</v>
      </c>
      <c r="L8" s="6" t="s">
        <v>122</v>
      </c>
    </row>
    <row r="9" spans="1:12" x14ac:dyDescent="0.3">
      <c r="J9" s="2" t="s">
        <v>947</v>
      </c>
      <c r="K9" s="6" t="s">
        <v>950</v>
      </c>
      <c r="L9" s="6" t="s">
        <v>122</v>
      </c>
    </row>
    <row r="10" spans="1:12" x14ac:dyDescent="0.3">
      <c r="J10" s="2" t="s">
        <v>716</v>
      </c>
      <c r="K10" s="6" t="s">
        <v>717</v>
      </c>
      <c r="L10" s="6" t="s">
        <v>96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8"/>
  <sheetViews>
    <sheetView topLeftCell="A10" workbookViewId="0"/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718</v>
      </c>
      <c r="B1" s="3" t="s">
        <v>719</v>
      </c>
      <c r="C1" s="3" t="s">
        <v>720</v>
      </c>
      <c r="D1" s="3" t="s">
        <v>721</v>
      </c>
      <c r="E1" s="3" t="s">
        <v>722</v>
      </c>
      <c r="F1" s="29" t="s">
        <v>723</v>
      </c>
      <c r="G1" s="3" t="s">
        <v>944</v>
      </c>
      <c r="H1" s="3" t="s">
        <v>724</v>
      </c>
      <c r="J1" s="1" t="s">
        <v>912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139</v>
      </c>
      <c r="H2" s="3">
        <v>1</v>
      </c>
      <c r="L2" s="42" t="s">
        <v>847</v>
      </c>
      <c r="M2" s="42"/>
      <c r="N2" s="42"/>
    </row>
    <row r="3" spans="1:20" x14ac:dyDescent="0.3">
      <c r="A3" s="3">
        <f t="shared" ref="A3:A69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140</v>
      </c>
      <c r="H3" s="3">
        <v>1</v>
      </c>
      <c r="L3" s="10" t="s">
        <v>832</v>
      </c>
      <c r="M3" s="10" t="s">
        <v>86</v>
      </c>
      <c r="N3" s="10" t="s">
        <v>87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409</v>
      </c>
      <c r="H4" s="3">
        <v>1</v>
      </c>
      <c r="L4" s="10" t="s">
        <v>833</v>
      </c>
      <c r="M4" s="10" t="s">
        <v>834</v>
      </c>
      <c r="N4" s="10" t="s">
        <v>88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408</v>
      </c>
      <c r="H5" s="3">
        <v>1</v>
      </c>
      <c r="L5" s="10" t="s">
        <v>835</v>
      </c>
      <c r="M5" s="10" t="s">
        <v>836</v>
      </c>
      <c r="N5" s="10" t="s">
        <v>100</v>
      </c>
      <c r="P5" s="45" t="s">
        <v>848</v>
      </c>
      <c r="Q5" s="45"/>
      <c r="R5" s="45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410</v>
      </c>
      <c r="H6" s="3">
        <v>1</v>
      </c>
      <c r="L6" s="10" t="s">
        <v>837</v>
      </c>
      <c r="M6" s="10" t="s">
        <v>838</v>
      </c>
      <c r="N6" s="10" t="s">
        <v>100</v>
      </c>
      <c r="P6" s="3" t="s">
        <v>849</v>
      </c>
      <c r="Q6" s="3" t="s">
        <v>86</v>
      </c>
      <c r="R6" s="3" t="s">
        <v>850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411</v>
      </c>
      <c r="H7" s="3">
        <v>1</v>
      </c>
      <c r="L7" s="10" t="s">
        <v>839</v>
      </c>
      <c r="M7" s="10" t="s">
        <v>840</v>
      </c>
      <c r="N7" s="10" t="s">
        <v>122</v>
      </c>
      <c r="P7" s="3">
        <v>1</v>
      </c>
      <c r="Q7" s="3" t="s">
        <v>851</v>
      </c>
      <c r="R7" s="3" t="s">
        <v>852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412</v>
      </c>
      <c r="H8" s="3">
        <v>1</v>
      </c>
      <c r="L8" s="10" t="s">
        <v>841</v>
      </c>
      <c r="M8" s="10" t="s">
        <v>842</v>
      </c>
      <c r="N8" s="10" t="s">
        <v>100</v>
      </c>
      <c r="P8" s="3">
        <v>2</v>
      </c>
      <c r="Q8" s="3" t="s">
        <v>863</v>
      </c>
      <c r="R8" s="3" t="s">
        <v>864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171</v>
      </c>
      <c r="H9" s="3">
        <v>1</v>
      </c>
      <c r="L9" s="10" t="s">
        <v>843</v>
      </c>
      <c r="M9" s="10" t="s">
        <v>844</v>
      </c>
      <c r="N9" s="10" t="s">
        <v>100</v>
      </c>
      <c r="P9" s="3">
        <v>3</v>
      </c>
      <c r="Q9" s="3" t="s">
        <v>867</v>
      </c>
      <c r="R9" s="3" t="s">
        <v>868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413</v>
      </c>
      <c r="H10" s="3">
        <v>1</v>
      </c>
      <c r="L10" s="10" t="s">
        <v>845</v>
      </c>
      <c r="M10" s="10" t="s">
        <v>846</v>
      </c>
      <c r="N10" s="10" t="s">
        <v>122</v>
      </c>
      <c r="P10" s="3">
        <v>4</v>
      </c>
      <c r="Q10" s="3" t="s">
        <v>1033</v>
      </c>
      <c r="R10" s="3" t="s">
        <v>1034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414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174</v>
      </c>
      <c r="H12" s="3">
        <v>1</v>
      </c>
      <c r="P12" s="42" t="s">
        <v>853</v>
      </c>
      <c r="Q12" s="42"/>
      <c r="R12" s="42"/>
      <c r="S12" s="42"/>
      <c r="T12" s="42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175</v>
      </c>
      <c r="H13" s="3">
        <v>1</v>
      </c>
      <c r="P13" s="27" t="s">
        <v>841</v>
      </c>
      <c r="Q13" s="27" t="s">
        <v>86</v>
      </c>
      <c r="R13" s="27" t="s">
        <v>843</v>
      </c>
      <c r="S13" s="27" t="s">
        <v>845</v>
      </c>
      <c r="T13" s="27" t="s">
        <v>854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176</v>
      </c>
      <c r="H14" s="3">
        <v>1</v>
      </c>
      <c r="P14" s="27">
        <v>1</v>
      </c>
      <c r="Q14" s="27" t="s">
        <v>855</v>
      </c>
      <c r="R14" s="27" t="s">
        <v>856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177</v>
      </c>
      <c r="H15" s="3">
        <v>1</v>
      </c>
      <c r="P15" s="27">
        <v>2</v>
      </c>
      <c r="Q15" s="27" t="s">
        <v>858</v>
      </c>
      <c r="R15" s="27" t="s">
        <v>860</v>
      </c>
      <c r="S15" s="27" t="s">
        <v>857</v>
      </c>
      <c r="T15" s="27" t="s">
        <v>861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178</v>
      </c>
      <c r="H16" s="3">
        <v>1</v>
      </c>
      <c r="P16" s="27">
        <v>3</v>
      </c>
      <c r="Q16" s="27" t="s">
        <v>859</v>
      </c>
      <c r="R16" s="27" t="s">
        <v>317</v>
      </c>
      <c r="S16" s="27" t="s">
        <v>857</v>
      </c>
      <c r="T16" s="27" t="s">
        <v>862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179</v>
      </c>
      <c r="H17" s="3">
        <v>1</v>
      </c>
      <c r="P17" s="27">
        <v>4</v>
      </c>
      <c r="Q17" s="27" t="s">
        <v>865</v>
      </c>
      <c r="R17" s="3" t="s">
        <v>702</v>
      </c>
      <c r="S17" s="27" t="s">
        <v>857</v>
      </c>
      <c r="T17" s="27" t="s">
        <v>866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180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181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182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183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415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416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185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186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187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188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189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190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399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402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247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248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249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250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826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827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168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170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375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828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375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174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375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176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375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178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375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180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375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182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375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829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375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실버 스피어</v>
      </c>
      <c r="G47" s="6" t="s">
        <v>1091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101</v>
      </c>
      <c r="D48" s="3">
        <v>333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그레이트 소드</v>
      </c>
      <c r="G48" s="3" t="s">
        <v>1085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101</v>
      </c>
      <c r="D49" s="3">
        <v>333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스네이크 윕</v>
      </c>
      <c r="G49" s="3" t="s">
        <v>1097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101</v>
      </c>
      <c r="D50" s="3">
        <v>333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장궁</v>
      </c>
      <c r="G50" s="3" t="s">
        <v>1103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삽</v>
      </c>
      <c r="G51" s="3" t="s">
        <v>826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750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갈퀴</v>
      </c>
      <c r="G52" s="3" t="s">
        <v>827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750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황금 삽</v>
      </c>
      <c r="G53" s="3" t="s">
        <v>168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750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도끼</v>
      </c>
      <c r="G54" s="3" t="s">
        <v>170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187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십자 끌</v>
      </c>
      <c r="G55" s="3" t="s">
        <v>828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187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곡괭이</v>
      </c>
      <c r="G56" s="3" t="s">
        <v>174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187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새총</v>
      </c>
      <c r="G57" s="3" t="s">
        <v>176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187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모서리 파쇄 해머</v>
      </c>
      <c r="G58" s="3" t="s">
        <v>178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187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집중형 십자 드릴</v>
      </c>
      <c r="G59" s="3" t="s">
        <v>180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187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황금 도끼</v>
      </c>
      <c r="G60" s="3" t="s">
        <v>182</v>
      </c>
      <c r="H60" s="6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187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대형 가위</v>
      </c>
      <c r="G61" s="3" t="s">
        <v>829</v>
      </c>
      <c r="H61" s="6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187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실버 스피어</v>
      </c>
      <c r="G62" s="6" t="s">
        <v>1091</v>
      </c>
      <c r="H62" s="6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166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그레이트 소드</v>
      </c>
      <c r="G63" s="3" t="s">
        <v>1085</v>
      </c>
      <c r="H63" s="6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167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스네이크 윕</v>
      </c>
      <c r="G64" s="3" t="s">
        <v>1097</v>
      </c>
      <c r="H64" s="6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167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장궁</v>
      </c>
      <c r="G65" s="3" t="s">
        <v>1103</v>
      </c>
      <c r="H65" s="6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750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삽+</v>
      </c>
      <c r="G66" s="3" t="s">
        <v>166</v>
      </c>
      <c r="H66" s="6">
        <v>1</v>
      </c>
    </row>
    <row r="67" spans="1:8" x14ac:dyDescent="0.3">
      <c r="A67" s="3">
        <f t="shared" si="0"/>
        <v>66</v>
      </c>
      <c r="B67" s="3">
        <v>1</v>
      </c>
      <c r="C67" s="3">
        <v>102</v>
      </c>
      <c r="D67" s="3">
        <v>750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갈퀴+</v>
      </c>
      <c r="G67" s="3" t="s">
        <v>167</v>
      </c>
      <c r="H67" s="6">
        <v>1</v>
      </c>
    </row>
    <row r="68" spans="1:8" x14ac:dyDescent="0.3">
      <c r="A68" s="3">
        <f t="shared" si="0"/>
        <v>67</v>
      </c>
      <c r="B68" s="3">
        <v>1</v>
      </c>
      <c r="C68" s="3">
        <v>102</v>
      </c>
      <c r="D68" s="3">
        <v>750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황금 삽+</v>
      </c>
      <c r="G68" s="3" t="s">
        <v>169</v>
      </c>
      <c r="H68" s="6">
        <v>1</v>
      </c>
    </row>
    <row r="69" spans="1:8" x14ac:dyDescent="0.3">
      <c r="A69" s="3">
        <f t="shared" si="0"/>
        <v>68</v>
      </c>
      <c r="B69" s="3">
        <v>1</v>
      </c>
      <c r="C69" s="3">
        <v>102</v>
      </c>
      <c r="D69" s="3">
        <v>750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도끼+</v>
      </c>
      <c r="G69" s="3" t="s">
        <v>171</v>
      </c>
      <c r="H69" s="6">
        <v>1</v>
      </c>
    </row>
    <row r="70" spans="1:8" x14ac:dyDescent="0.3">
      <c r="A70" s="3">
        <f t="shared" ref="A70:A148" si="1">ROW()-1</f>
        <v>69</v>
      </c>
      <c r="B70" s="3">
        <v>1</v>
      </c>
      <c r="C70" s="3">
        <v>102</v>
      </c>
      <c r="D70" s="3">
        <v>187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십자 끌+</v>
      </c>
      <c r="G70" s="3" t="s">
        <v>876</v>
      </c>
      <c r="H70" s="6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187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곡괭이+</v>
      </c>
      <c r="G71" s="3" t="s">
        <v>175</v>
      </c>
      <c r="H71" s="3">
        <v>1</v>
      </c>
    </row>
    <row r="72" spans="1:8" x14ac:dyDescent="0.3">
      <c r="A72" s="3">
        <f t="shared" si="1"/>
        <v>71</v>
      </c>
      <c r="B72" s="3">
        <v>1</v>
      </c>
      <c r="C72" s="3">
        <v>102</v>
      </c>
      <c r="D72" s="3">
        <v>187</v>
      </c>
      <c r="E72" s="3">
        <v>2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새총+</v>
      </c>
      <c r="G72" s="3" t="s">
        <v>177</v>
      </c>
      <c r="H72" s="3">
        <v>1</v>
      </c>
    </row>
    <row r="73" spans="1:8" x14ac:dyDescent="0.3">
      <c r="A73" s="3">
        <f t="shared" si="1"/>
        <v>72</v>
      </c>
      <c r="B73" s="3">
        <v>1</v>
      </c>
      <c r="C73" s="3">
        <v>102</v>
      </c>
      <c r="D73" s="3">
        <v>187</v>
      </c>
      <c r="E73" s="3">
        <v>2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모서리 파쇄 해머+</v>
      </c>
      <c r="G73" s="3" t="s">
        <v>179</v>
      </c>
      <c r="H73" s="3">
        <v>1</v>
      </c>
    </row>
    <row r="74" spans="1:8" x14ac:dyDescent="0.3">
      <c r="A74" s="3">
        <f t="shared" si="1"/>
        <v>73</v>
      </c>
      <c r="B74" s="3">
        <v>1</v>
      </c>
      <c r="C74" s="3">
        <v>102</v>
      </c>
      <c r="D74" s="3">
        <v>187</v>
      </c>
      <c r="E74" s="3">
        <v>2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집중형 십자 드릴+</v>
      </c>
      <c r="G74" s="3" t="s">
        <v>181</v>
      </c>
      <c r="H74" s="3">
        <v>1</v>
      </c>
    </row>
    <row r="75" spans="1:8" x14ac:dyDescent="0.3">
      <c r="A75" s="3">
        <f t="shared" si="1"/>
        <v>74</v>
      </c>
      <c r="B75" s="3">
        <v>1</v>
      </c>
      <c r="C75" s="3">
        <v>102</v>
      </c>
      <c r="D75" s="3">
        <v>187</v>
      </c>
      <c r="E75" s="3">
        <v>2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황금 도끼+</v>
      </c>
      <c r="G75" s="3" t="s">
        <v>183</v>
      </c>
      <c r="H75" s="3">
        <v>1</v>
      </c>
    </row>
    <row r="76" spans="1:8" x14ac:dyDescent="0.3">
      <c r="A76" s="3">
        <f t="shared" si="1"/>
        <v>75</v>
      </c>
      <c r="B76" s="3">
        <v>1</v>
      </c>
      <c r="C76" s="3">
        <v>102</v>
      </c>
      <c r="D76" s="3">
        <v>187</v>
      </c>
      <c r="E76" s="3">
        <v>2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대형 가위+</v>
      </c>
      <c r="G76" s="3" t="s">
        <v>877</v>
      </c>
      <c r="H76" s="3">
        <v>1</v>
      </c>
    </row>
    <row r="77" spans="1:8" x14ac:dyDescent="0.3">
      <c r="A77" s="3">
        <f t="shared" si="1"/>
        <v>76</v>
      </c>
      <c r="B77" s="3">
        <v>1</v>
      </c>
      <c r="C77" s="3">
        <v>102</v>
      </c>
      <c r="D77" s="3">
        <v>187</v>
      </c>
      <c r="E77" s="3">
        <v>2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실버 스피어+</v>
      </c>
      <c r="G77" s="3" t="s">
        <v>1094</v>
      </c>
      <c r="H77" s="3">
        <v>1</v>
      </c>
    </row>
    <row r="78" spans="1:8" x14ac:dyDescent="0.3">
      <c r="A78" s="3">
        <f t="shared" si="1"/>
        <v>77</v>
      </c>
      <c r="B78" s="3">
        <v>1</v>
      </c>
      <c r="C78" s="3">
        <v>102</v>
      </c>
      <c r="D78" s="3">
        <v>166</v>
      </c>
      <c r="E78" s="3">
        <v>2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그레이트 소드+</v>
      </c>
      <c r="G78" s="3" t="s">
        <v>1088</v>
      </c>
      <c r="H78" s="3">
        <v>1</v>
      </c>
    </row>
    <row r="79" spans="1:8" x14ac:dyDescent="0.3">
      <c r="A79" s="3">
        <f t="shared" si="1"/>
        <v>78</v>
      </c>
      <c r="B79" s="3">
        <v>1</v>
      </c>
      <c r="C79" s="3">
        <v>102</v>
      </c>
      <c r="D79" s="3">
        <v>167</v>
      </c>
      <c r="E79" s="3">
        <v>2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스네이크 윕+</v>
      </c>
      <c r="G79" s="3" t="s">
        <v>1100</v>
      </c>
      <c r="H79" s="3">
        <v>1</v>
      </c>
    </row>
    <row r="80" spans="1:8" x14ac:dyDescent="0.3">
      <c r="A80" s="3">
        <f t="shared" si="1"/>
        <v>79</v>
      </c>
      <c r="B80" s="3">
        <v>1</v>
      </c>
      <c r="C80" s="3">
        <v>102</v>
      </c>
      <c r="D80" s="3">
        <v>167</v>
      </c>
      <c r="E80" s="3">
        <v>2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장궁+</v>
      </c>
      <c r="G80" s="3" t="s">
        <v>1106</v>
      </c>
      <c r="H80" s="3">
        <v>1</v>
      </c>
    </row>
    <row r="81" spans="1:8" x14ac:dyDescent="0.3">
      <c r="A81" s="3">
        <f t="shared" si="1"/>
        <v>80</v>
      </c>
      <c r="B81" s="3">
        <v>2</v>
      </c>
      <c r="C81" s="3">
        <v>1011</v>
      </c>
      <c r="D81" s="3">
        <v>6500</v>
      </c>
      <c r="E81" s="3">
        <v>4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도구 카드펙 기본</v>
      </c>
      <c r="G81" s="3" t="s">
        <v>894</v>
      </c>
      <c r="H81" s="3">
        <v>1</v>
      </c>
    </row>
    <row r="82" spans="1:8" x14ac:dyDescent="0.3">
      <c r="A82" s="3">
        <f t="shared" si="1"/>
        <v>81</v>
      </c>
      <c r="B82" s="3">
        <v>2</v>
      </c>
      <c r="C82" s="3">
        <v>1011</v>
      </c>
      <c r="D82" s="3">
        <v>3500</v>
      </c>
      <c r="E82" s="3">
        <v>4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도구 카드펙 강화</v>
      </c>
      <c r="G82" s="3" t="s">
        <v>904</v>
      </c>
      <c r="H82" s="3">
        <v>1</v>
      </c>
    </row>
    <row r="83" spans="1:8" x14ac:dyDescent="0.3">
      <c r="A83" s="3">
        <f t="shared" si="1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정밀 타격 오일</v>
      </c>
      <c r="G83" s="3" t="s">
        <v>880</v>
      </c>
      <c r="H83" s="3">
        <v>1</v>
      </c>
    </row>
    <row r="84" spans="1:8" x14ac:dyDescent="0.3">
      <c r="A84" s="3">
        <f t="shared" si="1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강화 손잡이</v>
      </c>
      <c r="G84" s="3" t="s">
        <v>337</v>
      </c>
      <c r="H84" s="3">
        <v>1</v>
      </c>
    </row>
    <row r="85" spans="1:8" x14ac:dyDescent="0.3">
      <c r="A85" s="3">
        <f t="shared" si="1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확장 배낭</v>
      </c>
      <c r="G85" s="3" t="s">
        <v>342</v>
      </c>
      <c r="H85" s="3">
        <v>1</v>
      </c>
    </row>
    <row r="86" spans="1:8" x14ac:dyDescent="0.3">
      <c r="A86" s="3">
        <f t="shared" si="1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정밀 타격 레이저</v>
      </c>
      <c r="G86" s="3" t="s">
        <v>344</v>
      </c>
      <c r="H86" s="3">
        <v>1</v>
      </c>
    </row>
    <row r="87" spans="1:8" x14ac:dyDescent="0.3">
      <c r="A87" s="3">
        <f t="shared" si="1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고대의 나침반</v>
      </c>
      <c r="G87" s="3" t="s">
        <v>347</v>
      </c>
      <c r="H87" s="3">
        <v>1</v>
      </c>
    </row>
    <row r="88" spans="1:8" x14ac:dyDescent="0.3">
      <c r="A88" s="3">
        <f t="shared" si="1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유적 조사 노트</v>
      </c>
      <c r="G88" s="3" t="s">
        <v>349</v>
      </c>
      <c r="H88" s="3">
        <v>1</v>
      </c>
    </row>
    <row r="89" spans="1:8" x14ac:dyDescent="0.3">
      <c r="A89" s="3">
        <f t="shared" si="1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거래기록 장부</v>
      </c>
      <c r="G89" s="3" t="s">
        <v>350</v>
      </c>
      <c r="H89" s="3">
        <v>1</v>
      </c>
    </row>
    <row r="90" spans="1:8" x14ac:dyDescent="0.3">
      <c r="A90" s="3">
        <f t="shared" si="1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대못</v>
      </c>
      <c r="G90" s="3" t="s">
        <v>351</v>
      </c>
      <c r="H90" s="3">
        <v>1</v>
      </c>
    </row>
    <row r="91" spans="1:8" x14ac:dyDescent="0.3">
      <c r="A91" s="3">
        <f t="shared" si="1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균열 파편 강화*</v>
      </c>
      <c r="G91" s="3" t="s">
        <v>352</v>
      </c>
      <c r="H91" s="3">
        <v>1</v>
      </c>
    </row>
    <row r="92" spans="1:8" x14ac:dyDescent="0.3">
      <c r="A92" s="3">
        <f t="shared" si="1"/>
        <v>91</v>
      </c>
      <c r="B92" s="3">
        <v>2</v>
      </c>
      <c r="C92" s="3">
        <v>1013</v>
      </c>
      <c r="D92" s="3">
        <v>1200</v>
      </c>
      <c r="E92" s="3">
        <v>2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삽</v>
      </c>
      <c r="G92" s="3" t="s">
        <v>826</v>
      </c>
      <c r="H92" s="3">
        <v>1</v>
      </c>
    </row>
    <row r="93" spans="1:8" x14ac:dyDescent="0.3">
      <c r="A93" s="3">
        <f t="shared" si="1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갈퀴</v>
      </c>
      <c r="G93" s="3" t="s">
        <v>827</v>
      </c>
      <c r="H93" s="3">
        <v>1</v>
      </c>
    </row>
    <row r="94" spans="1:8" x14ac:dyDescent="0.3">
      <c r="A94" s="3">
        <f t="shared" si="1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황금 삽</v>
      </c>
      <c r="G94" s="3" t="s">
        <v>168</v>
      </c>
      <c r="H94" s="3">
        <v>1</v>
      </c>
    </row>
    <row r="95" spans="1:8" x14ac:dyDescent="0.3">
      <c r="A95" s="3">
        <f t="shared" si="1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도끼</v>
      </c>
      <c r="G95" s="3" t="s">
        <v>170</v>
      </c>
      <c r="H95" s="3">
        <v>1</v>
      </c>
    </row>
    <row r="96" spans="1:8" x14ac:dyDescent="0.3">
      <c r="A96" s="3">
        <f t="shared" si="1"/>
        <v>95</v>
      </c>
      <c r="B96" s="3">
        <v>2</v>
      </c>
      <c r="C96" s="3">
        <v>1013</v>
      </c>
      <c r="D96" s="3">
        <v>300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십자 끌</v>
      </c>
      <c r="G96" s="3" t="s">
        <v>828</v>
      </c>
      <c r="H96" s="3">
        <v>1</v>
      </c>
    </row>
    <row r="97" spans="1:8" x14ac:dyDescent="0.3">
      <c r="A97" s="3">
        <f t="shared" si="1"/>
        <v>96</v>
      </c>
      <c r="B97" s="3">
        <v>2</v>
      </c>
      <c r="C97" s="3">
        <v>1013</v>
      </c>
      <c r="D97" s="3">
        <v>300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곡괭이</v>
      </c>
      <c r="G97" s="3" t="s">
        <v>174</v>
      </c>
      <c r="H97" s="3">
        <v>1</v>
      </c>
    </row>
    <row r="98" spans="1:8" x14ac:dyDescent="0.3">
      <c r="A98" s="3">
        <f t="shared" si="1"/>
        <v>97</v>
      </c>
      <c r="B98" s="3">
        <v>2</v>
      </c>
      <c r="C98" s="3">
        <v>1013</v>
      </c>
      <c r="D98" s="3">
        <v>300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새총</v>
      </c>
      <c r="G98" s="3" t="s">
        <v>176</v>
      </c>
      <c r="H98" s="3">
        <v>1</v>
      </c>
    </row>
    <row r="99" spans="1:8" x14ac:dyDescent="0.3">
      <c r="A99" s="3">
        <f t="shared" si="1"/>
        <v>98</v>
      </c>
      <c r="B99" s="3">
        <v>2</v>
      </c>
      <c r="C99" s="3">
        <v>1013</v>
      </c>
      <c r="D99" s="3">
        <v>300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모서리 파쇄 해머</v>
      </c>
      <c r="G99" s="3" t="s">
        <v>178</v>
      </c>
      <c r="H99" s="3">
        <v>1</v>
      </c>
    </row>
    <row r="100" spans="1:8" x14ac:dyDescent="0.3">
      <c r="A100" s="3">
        <f t="shared" si="1"/>
        <v>99</v>
      </c>
      <c r="B100" s="3">
        <v>2</v>
      </c>
      <c r="C100" s="3">
        <v>1013</v>
      </c>
      <c r="D100" s="3">
        <v>300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집중형 십자 드릴</v>
      </c>
      <c r="G100" s="3" t="s">
        <v>180</v>
      </c>
      <c r="H100" s="3">
        <v>1</v>
      </c>
    </row>
    <row r="101" spans="1:8" x14ac:dyDescent="0.3">
      <c r="A101" s="3">
        <f t="shared" si="1"/>
        <v>100</v>
      </c>
      <c r="B101" s="3">
        <v>2</v>
      </c>
      <c r="C101" s="3">
        <v>1013</v>
      </c>
      <c r="D101" s="3">
        <v>300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황금 도끼</v>
      </c>
      <c r="G101" s="3" t="s">
        <v>182</v>
      </c>
      <c r="H101" s="3">
        <v>1</v>
      </c>
    </row>
    <row r="102" spans="1:8" x14ac:dyDescent="0.3">
      <c r="A102" s="3">
        <f t="shared" si="1"/>
        <v>101</v>
      </c>
      <c r="B102" s="3">
        <v>2</v>
      </c>
      <c r="C102" s="3">
        <v>1013</v>
      </c>
      <c r="D102" s="3">
        <v>300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대형 가위</v>
      </c>
      <c r="G102" s="3" t="s">
        <v>829</v>
      </c>
      <c r="H102" s="3">
        <v>1</v>
      </c>
    </row>
    <row r="103" spans="1:8" x14ac:dyDescent="0.3">
      <c r="A103" s="3">
        <f t="shared" si="1"/>
        <v>102</v>
      </c>
      <c r="B103" s="3">
        <v>2</v>
      </c>
      <c r="C103" s="3">
        <v>1013</v>
      </c>
      <c r="D103" s="3">
        <v>267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실버 스피어</v>
      </c>
      <c r="G103" s="6" t="s">
        <v>1091</v>
      </c>
      <c r="H103" s="3">
        <v>1</v>
      </c>
    </row>
    <row r="104" spans="1:8" x14ac:dyDescent="0.3">
      <c r="A104" s="3">
        <f t="shared" si="1"/>
        <v>103</v>
      </c>
      <c r="B104" s="3">
        <v>2</v>
      </c>
      <c r="C104" s="3">
        <v>1013</v>
      </c>
      <c r="D104" s="3">
        <v>267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그레이트 소드</v>
      </c>
      <c r="G104" s="3" t="s">
        <v>1085</v>
      </c>
      <c r="H104" s="3">
        <v>1</v>
      </c>
    </row>
    <row r="105" spans="1:8" x14ac:dyDescent="0.3">
      <c r="A105" s="3">
        <f t="shared" si="1"/>
        <v>104</v>
      </c>
      <c r="B105" s="3">
        <v>2</v>
      </c>
      <c r="C105" s="3">
        <v>1013</v>
      </c>
      <c r="D105" s="3">
        <v>266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스네이크 윕</v>
      </c>
      <c r="G105" s="3" t="s">
        <v>1097</v>
      </c>
      <c r="H105" s="3">
        <v>1</v>
      </c>
    </row>
    <row r="106" spans="1:8" x14ac:dyDescent="0.3">
      <c r="A106" s="3">
        <f t="shared" si="1"/>
        <v>105</v>
      </c>
      <c r="B106" s="3">
        <v>2</v>
      </c>
      <c r="C106" s="3">
        <v>1013</v>
      </c>
      <c r="D106" s="3">
        <v>800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장궁</v>
      </c>
      <c r="G106" s="3" t="s">
        <v>1103</v>
      </c>
      <c r="H106" s="3">
        <v>1</v>
      </c>
    </row>
    <row r="107" spans="1:8" x14ac:dyDescent="0.3">
      <c r="A107" s="3">
        <f t="shared" si="1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삽+</v>
      </c>
      <c r="G107" s="3" t="s">
        <v>166</v>
      </c>
      <c r="H107" s="3">
        <v>1</v>
      </c>
    </row>
    <row r="108" spans="1:8" x14ac:dyDescent="0.3">
      <c r="A108" s="3">
        <f t="shared" si="1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갈퀴+</v>
      </c>
      <c r="G108" s="3" t="s">
        <v>167</v>
      </c>
      <c r="H108" s="3">
        <v>1</v>
      </c>
    </row>
    <row r="109" spans="1:8" x14ac:dyDescent="0.3">
      <c r="A109" s="3">
        <f t="shared" si="1"/>
        <v>108</v>
      </c>
      <c r="B109" s="3">
        <v>2</v>
      </c>
      <c r="C109" s="3">
        <v>1013</v>
      </c>
      <c r="D109" s="3">
        <v>300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황금 삽+</v>
      </c>
      <c r="G109" s="3" t="s">
        <v>169</v>
      </c>
      <c r="H109" s="3">
        <v>1</v>
      </c>
    </row>
    <row r="110" spans="1:8" x14ac:dyDescent="0.3">
      <c r="A110" s="3">
        <f t="shared" si="1"/>
        <v>109</v>
      </c>
      <c r="B110" s="3">
        <v>2</v>
      </c>
      <c r="C110" s="3">
        <v>1013</v>
      </c>
      <c r="D110" s="3">
        <v>300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도끼+</v>
      </c>
      <c r="G110" s="3" t="s">
        <v>171</v>
      </c>
      <c r="H110" s="3">
        <v>1</v>
      </c>
    </row>
    <row r="111" spans="1:8" x14ac:dyDescent="0.3">
      <c r="A111" s="3">
        <f t="shared" si="1"/>
        <v>110</v>
      </c>
      <c r="B111" s="3">
        <v>2</v>
      </c>
      <c r="C111" s="3">
        <v>1013</v>
      </c>
      <c r="D111" s="3">
        <v>75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십자 끌+</v>
      </c>
      <c r="G111" s="3" t="s">
        <v>876</v>
      </c>
      <c r="H111" s="3">
        <v>1</v>
      </c>
    </row>
    <row r="112" spans="1:8" x14ac:dyDescent="0.3">
      <c r="A112" s="3">
        <f t="shared" si="1"/>
        <v>111</v>
      </c>
      <c r="B112" s="3">
        <v>2</v>
      </c>
      <c r="C112" s="3">
        <v>1013</v>
      </c>
      <c r="D112" s="3">
        <v>75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곡괭이+</v>
      </c>
      <c r="G112" s="3" t="s">
        <v>175</v>
      </c>
      <c r="H112" s="3">
        <v>1</v>
      </c>
    </row>
    <row r="113" spans="1:8" x14ac:dyDescent="0.3">
      <c r="A113" s="3">
        <f t="shared" si="1"/>
        <v>112</v>
      </c>
      <c r="B113" s="3">
        <v>2</v>
      </c>
      <c r="C113" s="3">
        <v>1013</v>
      </c>
      <c r="D113" s="3">
        <v>75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새총+</v>
      </c>
      <c r="G113" s="3" t="s">
        <v>177</v>
      </c>
      <c r="H113" s="3">
        <v>1</v>
      </c>
    </row>
    <row r="114" spans="1:8" x14ac:dyDescent="0.3">
      <c r="A114" s="3">
        <f t="shared" si="1"/>
        <v>113</v>
      </c>
      <c r="B114" s="3">
        <v>2</v>
      </c>
      <c r="C114" s="3">
        <v>1013</v>
      </c>
      <c r="D114" s="3">
        <v>75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모서리 파쇄 해머+</v>
      </c>
      <c r="G114" s="3" t="s">
        <v>179</v>
      </c>
      <c r="H114" s="3">
        <v>1</v>
      </c>
    </row>
    <row r="115" spans="1:8" x14ac:dyDescent="0.3">
      <c r="A115" s="3">
        <f t="shared" si="1"/>
        <v>114</v>
      </c>
      <c r="B115" s="3">
        <v>2</v>
      </c>
      <c r="C115" s="3">
        <v>1013</v>
      </c>
      <c r="D115" s="3">
        <v>75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집중형 십자 드릴+</v>
      </c>
      <c r="G115" s="3" t="s">
        <v>181</v>
      </c>
      <c r="H115" s="3">
        <v>1</v>
      </c>
    </row>
    <row r="116" spans="1:8" x14ac:dyDescent="0.3">
      <c r="A116" s="3">
        <f t="shared" si="1"/>
        <v>115</v>
      </c>
      <c r="B116" s="3">
        <v>2</v>
      </c>
      <c r="C116" s="3">
        <v>1013</v>
      </c>
      <c r="D116" s="3">
        <v>75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황금 도끼+</v>
      </c>
      <c r="G116" s="3" t="s">
        <v>183</v>
      </c>
      <c r="H116" s="3">
        <v>1</v>
      </c>
    </row>
    <row r="117" spans="1:8" x14ac:dyDescent="0.3">
      <c r="A117" s="3">
        <f t="shared" si="1"/>
        <v>116</v>
      </c>
      <c r="B117" s="3">
        <v>2</v>
      </c>
      <c r="C117" s="3">
        <v>1013</v>
      </c>
      <c r="D117" s="3">
        <v>75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대형 가위+</v>
      </c>
      <c r="G117" s="3" t="s">
        <v>877</v>
      </c>
      <c r="H117" s="3">
        <v>1</v>
      </c>
    </row>
    <row r="118" spans="1:8" x14ac:dyDescent="0.3">
      <c r="A118" s="3">
        <f t="shared" si="1"/>
        <v>117</v>
      </c>
      <c r="B118" s="3">
        <v>2</v>
      </c>
      <c r="C118" s="3">
        <v>1013</v>
      </c>
      <c r="D118" s="3">
        <v>75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실버 스피어+</v>
      </c>
      <c r="G118" s="3" t="s">
        <v>1094</v>
      </c>
      <c r="H118" s="3">
        <v>1</v>
      </c>
    </row>
    <row r="119" spans="1:8" x14ac:dyDescent="0.3">
      <c r="A119" s="3">
        <f t="shared" si="1"/>
        <v>118</v>
      </c>
      <c r="B119" s="3">
        <v>2</v>
      </c>
      <c r="C119" s="3">
        <v>1013</v>
      </c>
      <c r="D119" s="3">
        <v>66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그레이트 소드+</v>
      </c>
      <c r="G119" s="3" t="s">
        <v>1088</v>
      </c>
      <c r="H119" s="3">
        <v>1</v>
      </c>
    </row>
    <row r="120" spans="1:8" x14ac:dyDescent="0.3">
      <c r="A120" s="3">
        <f t="shared" si="1"/>
        <v>119</v>
      </c>
      <c r="B120" s="3">
        <v>2</v>
      </c>
      <c r="C120" s="3">
        <v>1013</v>
      </c>
      <c r="D120" s="3">
        <v>67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스네이크 윕+</v>
      </c>
      <c r="G120" s="3" t="s">
        <v>1100</v>
      </c>
      <c r="H120" s="3">
        <v>1</v>
      </c>
    </row>
    <row r="121" spans="1:8" x14ac:dyDescent="0.3">
      <c r="A121" s="3">
        <f t="shared" si="1"/>
        <v>120</v>
      </c>
      <c r="B121" s="3">
        <v>2</v>
      </c>
      <c r="C121" s="3">
        <v>1013</v>
      </c>
      <c r="D121" s="3">
        <v>67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장궁+</v>
      </c>
      <c r="G121" s="3" t="s">
        <v>1106</v>
      </c>
      <c r="H121" s="3">
        <v>1</v>
      </c>
    </row>
    <row r="122" spans="1:8" x14ac:dyDescent="0.3">
      <c r="A122" s="3">
        <f t="shared" si="1"/>
        <v>121</v>
      </c>
      <c r="B122" s="3">
        <v>3</v>
      </c>
      <c r="C122" s="3">
        <v>1101</v>
      </c>
      <c r="D122" s="3">
        <v>1500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삽</v>
      </c>
      <c r="G122" s="3" t="s">
        <v>826</v>
      </c>
      <c r="H122" s="3">
        <v>1</v>
      </c>
    </row>
    <row r="123" spans="1:8" x14ac:dyDescent="0.3">
      <c r="A123" s="3">
        <f t="shared" si="1"/>
        <v>122</v>
      </c>
      <c r="B123" s="3">
        <v>3</v>
      </c>
      <c r="C123" s="3">
        <v>1101</v>
      </c>
      <c r="D123" s="3">
        <v>1500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갈퀴</v>
      </c>
      <c r="G123" s="3" t="s">
        <v>827</v>
      </c>
      <c r="H123" s="3">
        <v>1</v>
      </c>
    </row>
    <row r="124" spans="1:8" x14ac:dyDescent="0.3">
      <c r="A124" s="3">
        <f t="shared" si="1"/>
        <v>123</v>
      </c>
      <c r="B124" s="3">
        <v>3</v>
      </c>
      <c r="C124" s="3">
        <v>1101</v>
      </c>
      <c r="D124" s="3">
        <v>1500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황금 삽</v>
      </c>
      <c r="G124" s="3" t="s">
        <v>168</v>
      </c>
      <c r="H124" s="3">
        <v>1</v>
      </c>
    </row>
    <row r="125" spans="1:8" x14ac:dyDescent="0.3">
      <c r="A125" s="3">
        <f t="shared" si="1"/>
        <v>124</v>
      </c>
      <c r="B125" s="3">
        <v>3</v>
      </c>
      <c r="C125" s="3">
        <v>1101</v>
      </c>
      <c r="D125" s="3">
        <v>1500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도끼</v>
      </c>
      <c r="G125" s="3" t="s">
        <v>170</v>
      </c>
      <c r="H125" s="3">
        <v>1</v>
      </c>
    </row>
    <row r="126" spans="1:8" x14ac:dyDescent="0.3">
      <c r="A126" s="3">
        <f t="shared" si="1"/>
        <v>125</v>
      </c>
      <c r="B126" s="3">
        <v>3</v>
      </c>
      <c r="C126" s="3">
        <v>1101</v>
      </c>
      <c r="D126" s="3">
        <v>375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십자 끌</v>
      </c>
      <c r="G126" s="3" t="s">
        <v>828</v>
      </c>
      <c r="H126" s="3">
        <v>1</v>
      </c>
    </row>
    <row r="127" spans="1:8" x14ac:dyDescent="0.3">
      <c r="A127" s="3">
        <f t="shared" si="1"/>
        <v>126</v>
      </c>
      <c r="B127" s="3">
        <v>3</v>
      </c>
      <c r="C127" s="3">
        <v>1101</v>
      </c>
      <c r="D127" s="3">
        <v>375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곡괭이</v>
      </c>
      <c r="G127" s="3" t="s">
        <v>174</v>
      </c>
      <c r="H127" s="3">
        <v>1</v>
      </c>
    </row>
    <row r="128" spans="1:8" x14ac:dyDescent="0.3">
      <c r="A128" s="3">
        <f t="shared" si="1"/>
        <v>127</v>
      </c>
      <c r="B128" s="3">
        <v>3</v>
      </c>
      <c r="C128" s="3">
        <v>1101</v>
      </c>
      <c r="D128" s="3">
        <v>375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새총</v>
      </c>
      <c r="G128" s="3" t="s">
        <v>176</v>
      </c>
      <c r="H128" s="3">
        <v>1</v>
      </c>
    </row>
    <row r="129" spans="1:12" x14ac:dyDescent="0.3">
      <c r="A129" s="3">
        <f t="shared" si="1"/>
        <v>128</v>
      </c>
      <c r="B129" s="3">
        <v>3</v>
      </c>
      <c r="C129" s="3">
        <v>1101</v>
      </c>
      <c r="D129" s="3">
        <v>375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모서리 파쇄 해머</v>
      </c>
      <c r="G129" s="3" t="s">
        <v>178</v>
      </c>
      <c r="H129" s="3">
        <v>1</v>
      </c>
    </row>
    <row r="130" spans="1:12" x14ac:dyDescent="0.3">
      <c r="A130" s="3">
        <f t="shared" si="1"/>
        <v>129</v>
      </c>
      <c r="B130" s="3">
        <v>3</v>
      </c>
      <c r="C130" s="3">
        <v>1101</v>
      </c>
      <c r="D130" s="3">
        <v>375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집중형 십자 드릴</v>
      </c>
      <c r="G130" s="3" t="s">
        <v>180</v>
      </c>
      <c r="H130" s="3">
        <v>1</v>
      </c>
    </row>
    <row r="131" spans="1:12" x14ac:dyDescent="0.3">
      <c r="A131" s="3">
        <f t="shared" si="1"/>
        <v>130</v>
      </c>
      <c r="B131" s="3">
        <v>3</v>
      </c>
      <c r="C131" s="3">
        <v>1101</v>
      </c>
      <c r="D131" s="3">
        <v>375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황금 도끼</v>
      </c>
      <c r="G131" s="3" t="s">
        <v>182</v>
      </c>
      <c r="H131" s="3">
        <v>1</v>
      </c>
    </row>
    <row r="132" spans="1:12" x14ac:dyDescent="0.3">
      <c r="A132" s="3">
        <f t="shared" si="1"/>
        <v>131</v>
      </c>
      <c r="B132" s="3">
        <v>3</v>
      </c>
      <c r="C132" s="3">
        <v>1101</v>
      </c>
      <c r="D132" s="3">
        <v>375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대형 가위</v>
      </c>
      <c r="G132" s="3" t="s">
        <v>829</v>
      </c>
      <c r="H132" s="3">
        <v>1</v>
      </c>
    </row>
    <row r="133" spans="1:12" x14ac:dyDescent="0.3">
      <c r="A133" s="3">
        <f t="shared" si="1"/>
        <v>132</v>
      </c>
      <c r="B133" s="3">
        <v>3</v>
      </c>
      <c r="C133" s="3">
        <v>1101</v>
      </c>
      <c r="D133" s="3">
        <v>375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실버 스피어</v>
      </c>
      <c r="G133" s="6" t="s">
        <v>1091</v>
      </c>
      <c r="H133" s="3">
        <v>1</v>
      </c>
    </row>
    <row r="134" spans="1:12" x14ac:dyDescent="0.3">
      <c r="A134" s="3">
        <f t="shared" si="1"/>
        <v>133</v>
      </c>
      <c r="B134" s="3">
        <v>3</v>
      </c>
      <c r="C134" s="3">
        <v>1101</v>
      </c>
      <c r="D134" s="3">
        <v>333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그레이트 소드</v>
      </c>
      <c r="G134" s="3" t="s">
        <v>1085</v>
      </c>
      <c r="H134" s="3">
        <v>1</v>
      </c>
    </row>
    <row r="135" spans="1:12" x14ac:dyDescent="0.3">
      <c r="A135" s="3">
        <f t="shared" si="1"/>
        <v>134</v>
      </c>
      <c r="B135" s="3">
        <v>3</v>
      </c>
      <c r="C135" s="3">
        <v>1101</v>
      </c>
      <c r="D135" s="3">
        <v>334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스네이크 윕</v>
      </c>
      <c r="G135" s="3" t="s">
        <v>1097</v>
      </c>
      <c r="H135" s="3">
        <v>1</v>
      </c>
      <c r="L135" s="1">
        <f>7000/8</f>
        <v>875</v>
      </c>
    </row>
    <row r="136" spans="1:12" x14ac:dyDescent="0.3">
      <c r="A136" s="3">
        <f t="shared" si="1"/>
        <v>135</v>
      </c>
      <c r="B136" s="3">
        <v>3</v>
      </c>
      <c r="C136" s="3">
        <v>1101</v>
      </c>
      <c r="D136" s="3">
        <v>333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장궁</v>
      </c>
      <c r="G136" s="3" t="s">
        <v>1103</v>
      </c>
      <c r="H136" s="3">
        <v>1</v>
      </c>
    </row>
    <row r="137" spans="1:12" x14ac:dyDescent="0.3">
      <c r="A137" s="3">
        <f t="shared" si="1"/>
        <v>136</v>
      </c>
      <c r="B137" s="3">
        <v>4</v>
      </c>
      <c r="C137" s="3">
        <v>10101</v>
      </c>
      <c r="D137" s="3">
        <v>875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</v>
      </c>
      <c r="G137" s="3" t="s">
        <v>828</v>
      </c>
      <c r="H137" s="3">
        <v>1</v>
      </c>
    </row>
    <row r="138" spans="1:12" x14ac:dyDescent="0.3">
      <c r="A138" s="3">
        <f t="shared" si="1"/>
        <v>137</v>
      </c>
      <c r="B138" s="3">
        <v>4</v>
      </c>
      <c r="C138" s="3">
        <v>10101</v>
      </c>
      <c r="D138" s="3">
        <v>875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</v>
      </c>
      <c r="G138" s="3" t="s">
        <v>174</v>
      </c>
      <c r="H138" s="3">
        <v>1</v>
      </c>
    </row>
    <row r="139" spans="1:12" x14ac:dyDescent="0.3">
      <c r="A139" s="3">
        <f t="shared" si="1"/>
        <v>138</v>
      </c>
      <c r="B139" s="3">
        <v>4</v>
      </c>
      <c r="C139" s="3">
        <v>10101</v>
      </c>
      <c r="D139" s="3">
        <v>875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</v>
      </c>
      <c r="G139" s="3" t="s">
        <v>176</v>
      </c>
      <c r="H139" s="3">
        <v>1</v>
      </c>
    </row>
    <row r="140" spans="1:12" x14ac:dyDescent="0.3">
      <c r="A140" s="3">
        <f t="shared" si="1"/>
        <v>139</v>
      </c>
      <c r="B140" s="3">
        <v>4</v>
      </c>
      <c r="C140" s="3">
        <v>10101</v>
      </c>
      <c r="D140" s="3">
        <v>875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</v>
      </c>
      <c r="G140" s="3" t="s">
        <v>178</v>
      </c>
      <c r="H140" s="3">
        <v>1</v>
      </c>
    </row>
    <row r="141" spans="1:12" x14ac:dyDescent="0.3">
      <c r="A141" s="3">
        <f t="shared" si="1"/>
        <v>140</v>
      </c>
      <c r="B141" s="3">
        <v>4</v>
      </c>
      <c r="C141" s="3">
        <v>10101</v>
      </c>
      <c r="D141" s="3">
        <v>875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</v>
      </c>
      <c r="G141" s="3" t="s">
        <v>180</v>
      </c>
      <c r="H141" s="3">
        <v>1</v>
      </c>
    </row>
    <row r="142" spans="1:12" x14ac:dyDescent="0.3">
      <c r="A142" s="3">
        <f t="shared" si="1"/>
        <v>141</v>
      </c>
      <c r="B142" s="3">
        <v>4</v>
      </c>
      <c r="C142" s="3">
        <v>10101</v>
      </c>
      <c r="D142" s="3">
        <v>875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</v>
      </c>
      <c r="G142" s="3" t="s">
        <v>182</v>
      </c>
      <c r="H142" s="3">
        <v>1</v>
      </c>
    </row>
    <row r="143" spans="1:12" x14ac:dyDescent="0.3">
      <c r="A143" s="3">
        <f t="shared" si="1"/>
        <v>142</v>
      </c>
      <c r="B143" s="3">
        <v>4</v>
      </c>
      <c r="C143" s="3">
        <v>10101</v>
      </c>
      <c r="D143" s="3">
        <v>875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</v>
      </c>
      <c r="G143" s="3" t="s">
        <v>829</v>
      </c>
      <c r="H143" s="3">
        <v>1</v>
      </c>
    </row>
    <row r="144" spans="1:12" x14ac:dyDescent="0.3">
      <c r="A144" s="3">
        <f t="shared" si="1"/>
        <v>143</v>
      </c>
      <c r="B144" s="3">
        <v>4</v>
      </c>
      <c r="C144" s="3">
        <v>10101</v>
      </c>
      <c r="D144" s="3">
        <v>875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실버 스피어</v>
      </c>
      <c r="G144" s="6" t="s">
        <v>1091</v>
      </c>
      <c r="H144" s="3">
        <v>1</v>
      </c>
    </row>
    <row r="145" spans="1:8" x14ac:dyDescent="0.3">
      <c r="A145" s="3">
        <f t="shared" si="1"/>
        <v>144</v>
      </c>
      <c r="B145" s="3">
        <v>4</v>
      </c>
      <c r="C145" s="3">
        <v>10101</v>
      </c>
      <c r="D145" s="3">
        <v>1000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그레이트 소드</v>
      </c>
      <c r="G145" s="3" t="s">
        <v>1085</v>
      </c>
      <c r="H145" s="3">
        <v>1</v>
      </c>
    </row>
    <row r="146" spans="1:8" x14ac:dyDescent="0.3">
      <c r="A146" s="3">
        <f t="shared" si="1"/>
        <v>145</v>
      </c>
      <c r="B146" s="3">
        <v>4</v>
      </c>
      <c r="C146" s="3">
        <v>10101</v>
      </c>
      <c r="D146" s="3">
        <v>1000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스네이크 윕</v>
      </c>
      <c r="G146" s="3" t="s">
        <v>1097</v>
      </c>
      <c r="H146" s="3">
        <v>1</v>
      </c>
    </row>
    <row r="147" spans="1:8" x14ac:dyDescent="0.3">
      <c r="A147" s="3">
        <f t="shared" si="1"/>
        <v>146</v>
      </c>
      <c r="B147" s="3">
        <v>4</v>
      </c>
      <c r="C147" s="3">
        <v>10101</v>
      </c>
      <c r="D147" s="3">
        <v>1000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장궁</v>
      </c>
      <c r="G147" s="3" t="s">
        <v>1103</v>
      </c>
      <c r="H147" s="3">
        <v>1</v>
      </c>
    </row>
    <row r="148" spans="1:8" x14ac:dyDescent="0.3">
      <c r="A148" s="3">
        <f t="shared" si="1"/>
        <v>147</v>
      </c>
      <c r="B148" s="3">
        <v>4</v>
      </c>
      <c r="C148" s="3">
        <v>10201</v>
      </c>
      <c r="D148" s="3">
        <v>875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십자 끌+</v>
      </c>
      <c r="G148" s="3" t="s">
        <v>876</v>
      </c>
      <c r="H148" s="3">
        <v>1</v>
      </c>
    </row>
    <row r="149" spans="1:8" x14ac:dyDescent="0.3">
      <c r="A149" s="3">
        <f t="shared" ref="A149:A178" si="2">ROW()-1</f>
        <v>148</v>
      </c>
      <c r="B149" s="3">
        <v>4</v>
      </c>
      <c r="C149" s="3">
        <v>10201</v>
      </c>
      <c r="D149" s="3">
        <v>875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곡괭이+</v>
      </c>
      <c r="G149" s="3" t="s">
        <v>175</v>
      </c>
      <c r="H149" s="3">
        <v>1</v>
      </c>
    </row>
    <row r="150" spans="1:8" x14ac:dyDescent="0.3">
      <c r="A150" s="3">
        <f t="shared" si="2"/>
        <v>149</v>
      </c>
      <c r="B150" s="3">
        <v>4</v>
      </c>
      <c r="C150" s="3">
        <v>10201</v>
      </c>
      <c r="D150" s="3">
        <v>875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새총+</v>
      </c>
      <c r="G150" s="3" t="s">
        <v>177</v>
      </c>
      <c r="H150" s="3">
        <v>1</v>
      </c>
    </row>
    <row r="151" spans="1:8" x14ac:dyDescent="0.3">
      <c r="A151" s="3">
        <f t="shared" si="2"/>
        <v>150</v>
      </c>
      <c r="B151" s="3">
        <v>4</v>
      </c>
      <c r="C151" s="3">
        <v>10201</v>
      </c>
      <c r="D151" s="3">
        <v>875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모서리 파쇄 해머+</v>
      </c>
      <c r="G151" s="3" t="s">
        <v>179</v>
      </c>
      <c r="H151" s="3">
        <v>1</v>
      </c>
    </row>
    <row r="152" spans="1:8" x14ac:dyDescent="0.3">
      <c r="A152" s="3">
        <f t="shared" si="2"/>
        <v>151</v>
      </c>
      <c r="B152" s="3">
        <v>4</v>
      </c>
      <c r="C152" s="3">
        <v>10201</v>
      </c>
      <c r="D152" s="3">
        <v>875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집중형 십자 드릴+</v>
      </c>
      <c r="G152" s="3" t="s">
        <v>181</v>
      </c>
      <c r="H152" s="3">
        <v>1</v>
      </c>
    </row>
    <row r="153" spans="1:8" x14ac:dyDescent="0.3">
      <c r="A153" s="3">
        <f t="shared" si="2"/>
        <v>152</v>
      </c>
      <c r="B153" s="3">
        <v>4</v>
      </c>
      <c r="C153" s="3">
        <v>10201</v>
      </c>
      <c r="D153" s="3">
        <v>875</v>
      </c>
      <c r="E153" s="3">
        <v>2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황금 도끼+</v>
      </c>
      <c r="G153" s="3" t="s">
        <v>183</v>
      </c>
      <c r="H153" s="3">
        <v>1</v>
      </c>
    </row>
    <row r="154" spans="1:8" x14ac:dyDescent="0.3">
      <c r="A154" s="3">
        <f t="shared" si="2"/>
        <v>153</v>
      </c>
      <c r="B154" s="3">
        <v>4</v>
      </c>
      <c r="C154" s="3">
        <v>10201</v>
      </c>
      <c r="D154" s="3">
        <v>875</v>
      </c>
      <c r="E154" s="3">
        <v>2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대형 가위+</v>
      </c>
      <c r="G154" s="3" t="s">
        <v>877</v>
      </c>
      <c r="H154" s="3">
        <v>1</v>
      </c>
    </row>
    <row r="155" spans="1:8" x14ac:dyDescent="0.3">
      <c r="A155" s="3">
        <f t="shared" si="2"/>
        <v>154</v>
      </c>
      <c r="B155" s="3">
        <v>4</v>
      </c>
      <c r="C155" s="3">
        <v>10201</v>
      </c>
      <c r="D155" s="3">
        <v>875</v>
      </c>
      <c r="E155" s="3">
        <v>2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실버 스피어+</v>
      </c>
      <c r="G155" s="3" t="s">
        <v>1094</v>
      </c>
      <c r="H155" s="3">
        <v>1</v>
      </c>
    </row>
    <row r="156" spans="1:8" x14ac:dyDescent="0.3">
      <c r="A156" s="3">
        <f t="shared" si="2"/>
        <v>155</v>
      </c>
      <c r="B156" s="3">
        <v>4</v>
      </c>
      <c r="C156" s="3">
        <v>10201</v>
      </c>
      <c r="D156" s="3">
        <v>1000</v>
      </c>
      <c r="E156" s="3">
        <v>2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그레이트 소드+</v>
      </c>
      <c r="G156" s="3" t="s">
        <v>1088</v>
      </c>
      <c r="H156" s="3">
        <v>1</v>
      </c>
    </row>
    <row r="157" spans="1:8" x14ac:dyDescent="0.3">
      <c r="A157" s="3">
        <f t="shared" si="2"/>
        <v>156</v>
      </c>
      <c r="B157" s="3">
        <v>4</v>
      </c>
      <c r="C157" s="3">
        <v>10201</v>
      </c>
      <c r="D157" s="3">
        <v>1000</v>
      </c>
      <c r="E157" s="3">
        <v>2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스네이크 윕+</v>
      </c>
      <c r="G157" s="3" t="s">
        <v>1100</v>
      </c>
      <c r="H157" s="3">
        <v>1</v>
      </c>
    </row>
    <row r="158" spans="1:8" x14ac:dyDescent="0.3">
      <c r="A158" s="3">
        <f t="shared" si="2"/>
        <v>157</v>
      </c>
      <c r="B158" s="3">
        <v>4</v>
      </c>
      <c r="C158" s="3">
        <v>10201</v>
      </c>
      <c r="D158" s="3">
        <v>1000</v>
      </c>
      <c r="E158" s="3">
        <v>2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장궁+</v>
      </c>
      <c r="G158" s="3" t="s">
        <v>1106</v>
      </c>
      <c r="H158" s="3">
        <v>1</v>
      </c>
    </row>
    <row r="159" spans="1:8" x14ac:dyDescent="0.3">
      <c r="A159" s="3">
        <f t="shared" si="2"/>
        <v>158</v>
      </c>
      <c r="B159" s="3">
        <v>4</v>
      </c>
      <c r="C159" s="3">
        <v>10301</v>
      </c>
      <c r="D159" s="3">
        <v>500</v>
      </c>
      <c r="E159" s="3">
        <v>2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십자 끌+</v>
      </c>
      <c r="G159" s="3" t="s">
        <v>876</v>
      </c>
      <c r="H159" s="3">
        <v>1</v>
      </c>
    </row>
    <row r="160" spans="1:8" x14ac:dyDescent="0.3">
      <c r="A160" s="3">
        <f t="shared" si="2"/>
        <v>159</v>
      </c>
      <c r="B160" s="3">
        <v>4</v>
      </c>
      <c r="C160" s="3">
        <v>10301</v>
      </c>
      <c r="D160" s="3">
        <v>500</v>
      </c>
      <c r="E160" s="3">
        <v>2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곡괭이+</v>
      </c>
      <c r="G160" s="3" t="s">
        <v>175</v>
      </c>
      <c r="H160" s="3">
        <v>1</v>
      </c>
    </row>
    <row r="161" spans="1:8" x14ac:dyDescent="0.3">
      <c r="A161" s="3">
        <f t="shared" si="2"/>
        <v>160</v>
      </c>
      <c r="B161" s="3">
        <v>4</v>
      </c>
      <c r="C161" s="3">
        <v>10301</v>
      </c>
      <c r="D161" s="3">
        <v>500</v>
      </c>
      <c r="E161" s="3">
        <v>2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새총+</v>
      </c>
      <c r="G161" s="3" t="s">
        <v>177</v>
      </c>
      <c r="H161" s="3">
        <v>1</v>
      </c>
    </row>
    <row r="162" spans="1:8" x14ac:dyDescent="0.3">
      <c r="A162" s="3">
        <f t="shared" si="2"/>
        <v>161</v>
      </c>
      <c r="B162" s="3">
        <v>4</v>
      </c>
      <c r="C162" s="3">
        <v>10301</v>
      </c>
      <c r="D162" s="3">
        <v>500</v>
      </c>
      <c r="E162" s="3">
        <v>2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모서리 파쇄 해머+</v>
      </c>
      <c r="G162" s="3" t="s">
        <v>179</v>
      </c>
      <c r="H162" s="3">
        <v>1</v>
      </c>
    </row>
    <row r="163" spans="1:8" x14ac:dyDescent="0.3">
      <c r="A163" s="3">
        <f t="shared" si="2"/>
        <v>162</v>
      </c>
      <c r="B163" s="3">
        <v>4</v>
      </c>
      <c r="C163" s="3">
        <v>10301</v>
      </c>
      <c r="D163" s="3">
        <v>500</v>
      </c>
      <c r="E163" s="3">
        <v>2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집중형 십자 드릴+</v>
      </c>
      <c r="G163" s="3" t="s">
        <v>181</v>
      </c>
      <c r="H163" s="3">
        <v>1</v>
      </c>
    </row>
    <row r="164" spans="1:8" x14ac:dyDescent="0.3">
      <c r="A164" s="3">
        <f t="shared" si="2"/>
        <v>163</v>
      </c>
      <c r="B164" s="3">
        <v>4</v>
      </c>
      <c r="C164" s="3">
        <v>10301</v>
      </c>
      <c r="D164" s="3">
        <v>500</v>
      </c>
      <c r="E164" s="3">
        <v>2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황금 도끼+</v>
      </c>
      <c r="G164" s="3" t="s">
        <v>183</v>
      </c>
      <c r="H164" s="3">
        <v>1</v>
      </c>
    </row>
    <row r="165" spans="1:8" x14ac:dyDescent="0.3">
      <c r="A165" s="3">
        <f t="shared" si="2"/>
        <v>164</v>
      </c>
      <c r="B165" s="3">
        <v>4</v>
      </c>
      <c r="C165" s="3">
        <v>10301</v>
      </c>
      <c r="D165" s="3">
        <v>500</v>
      </c>
      <c r="E165" s="3">
        <v>2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대형 가위+</v>
      </c>
      <c r="G165" s="3" t="s">
        <v>877</v>
      </c>
      <c r="H165" s="3">
        <v>1</v>
      </c>
    </row>
    <row r="166" spans="1:8" x14ac:dyDescent="0.3">
      <c r="A166" s="3">
        <f t="shared" si="2"/>
        <v>165</v>
      </c>
      <c r="B166" s="3">
        <v>4</v>
      </c>
      <c r="C166" s="3">
        <v>10301</v>
      </c>
      <c r="D166" s="3">
        <v>500</v>
      </c>
      <c r="E166" s="3">
        <v>2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실버 스피어+</v>
      </c>
      <c r="G166" s="3" t="s">
        <v>1094</v>
      </c>
      <c r="H166" s="3">
        <v>1</v>
      </c>
    </row>
    <row r="167" spans="1:8" x14ac:dyDescent="0.3">
      <c r="A167" s="3">
        <f t="shared" si="2"/>
        <v>166</v>
      </c>
      <c r="B167" s="3">
        <v>4</v>
      </c>
      <c r="C167" s="3">
        <v>10301</v>
      </c>
      <c r="D167" s="3">
        <v>2000</v>
      </c>
      <c r="E167" s="3">
        <v>2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그레이트 소드+</v>
      </c>
      <c r="G167" s="3" t="s">
        <v>1088</v>
      </c>
      <c r="H167" s="3">
        <v>1</v>
      </c>
    </row>
    <row r="168" spans="1:8" x14ac:dyDescent="0.3">
      <c r="A168" s="3">
        <f t="shared" si="2"/>
        <v>167</v>
      </c>
      <c r="B168" s="3">
        <v>4</v>
      </c>
      <c r="C168" s="3">
        <v>10301</v>
      </c>
      <c r="D168" s="3">
        <v>2000</v>
      </c>
      <c r="E168" s="3">
        <v>2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스네이크 윕+</v>
      </c>
      <c r="G168" s="3" t="s">
        <v>1100</v>
      </c>
      <c r="H168" s="3">
        <v>1</v>
      </c>
    </row>
    <row r="169" spans="1:8" x14ac:dyDescent="0.3">
      <c r="A169" s="3">
        <f t="shared" si="2"/>
        <v>168</v>
      </c>
      <c r="B169" s="3">
        <v>4</v>
      </c>
      <c r="C169" s="3">
        <v>10301</v>
      </c>
      <c r="D169" s="3">
        <v>2000</v>
      </c>
      <c r="E169" s="3">
        <v>2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장궁+</v>
      </c>
      <c r="G169" s="3" t="s">
        <v>1106</v>
      </c>
      <c r="H169" s="3">
        <v>1</v>
      </c>
    </row>
    <row r="170" spans="1:8" x14ac:dyDescent="0.3">
      <c r="A170" s="3">
        <f t="shared" si="2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정밀 타격 오일</v>
      </c>
      <c r="G170" s="3" t="s">
        <v>880</v>
      </c>
      <c r="H170" s="3">
        <v>1</v>
      </c>
    </row>
    <row r="171" spans="1:8" x14ac:dyDescent="0.3">
      <c r="A171" s="3">
        <f t="shared" si="2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강화 손잡이</v>
      </c>
      <c r="G171" s="3" t="s">
        <v>337</v>
      </c>
      <c r="H171" s="3">
        <v>1</v>
      </c>
    </row>
    <row r="172" spans="1:8" x14ac:dyDescent="0.3">
      <c r="A172" s="3">
        <f t="shared" si="2"/>
        <v>171</v>
      </c>
      <c r="B172" s="3">
        <v>4</v>
      </c>
      <c r="C172" s="3">
        <v>10302</v>
      </c>
      <c r="D172" s="3">
        <v>1</v>
      </c>
      <c r="E172" s="3">
        <v>3</v>
      </c>
      <c r="F172" s="29" t="str">
        <f>IF(E172=1,G172&amp;" 골드",IF(E172=2,INDEX('02.CardData'!E:E,MATCH(G172,'02.CardData'!B:B,0)),IF(E172=3,INDEX('03.RelicData'!E:E,MATCH(G172,'03.RelicData'!A:A,0)),IF(E172=4,INDEX('06.PackData'!C:C,MATCH(G172,'06.PackData'!A:A,0)),"X"))))</f>
        <v>확장 배낭</v>
      </c>
      <c r="G172" s="3" t="s">
        <v>342</v>
      </c>
      <c r="H172" s="3">
        <v>1</v>
      </c>
    </row>
    <row r="173" spans="1:8" x14ac:dyDescent="0.3">
      <c r="A173" s="3">
        <f t="shared" si="2"/>
        <v>172</v>
      </c>
      <c r="B173" s="3">
        <v>4</v>
      </c>
      <c r="C173" s="3">
        <v>10302</v>
      </c>
      <c r="D173" s="3">
        <v>1</v>
      </c>
      <c r="E173" s="3">
        <v>3</v>
      </c>
      <c r="F173" s="29" t="str">
        <f>IF(E173=1,G173&amp;" 골드",IF(E173=2,INDEX('02.CardData'!E:E,MATCH(G173,'02.CardData'!B:B,0)),IF(E173=3,INDEX('03.RelicData'!E:E,MATCH(G173,'03.RelicData'!A:A,0)),IF(E173=4,INDEX('06.PackData'!C:C,MATCH(G173,'06.PackData'!A:A,0)),"X"))))</f>
        <v>정밀 타격 레이저</v>
      </c>
      <c r="G173" s="3" t="s">
        <v>344</v>
      </c>
      <c r="H173" s="3">
        <v>1</v>
      </c>
    </row>
    <row r="174" spans="1:8" x14ac:dyDescent="0.3">
      <c r="A174" s="3">
        <f t="shared" si="2"/>
        <v>173</v>
      </c>
      <c r="B174" s="3">
        <v>4</v>
      </c>
      <c r="C174" s="3">
        <v>10302</v>
      </c>
      <c r="D174" s="3">
        <v>1</v>
      </c>
      <c r="E174" s="3">
        <v>3</v>
      </c>
      <c r="F174" s="29" t="str">
        <f>IF(E174=1,G174&amp;" 골드",IF(E174=2,INDEX('02.CardData'!E:E,MATCH(G174,'02.CardData'!B:B,0)),IF(E174=3,INDEX('03.RelicData'!E:E,MATCH(G174,'03.RelicData'!A:A,0)),IF(E174=4,INDEX('06.PackData'!C:C,MATCH(G174,'06.PackData'!A:A,0)),"X"))))</f>
        <v>고대의 나침반</v>
      </c>
      <c r="G174" s="3" t="s">
        <v>347</v>
      </c>
      <c r="H174" s="3">
        <v>1</v>
      </c>
    </row>
    <row r="175" spans="1:8" x14ac:dyDescent="0.3">
      <c r="A175" s="3">
        <f t="shared" si="2"/>
        <v>174</v>
      </c>
      <c r="B175" s="3">
        <v>4</v>
      </c>
      <c r="C175" s="3">
        <v>10302</v>
      </c>
      <c r="D175" s="3">
        <v>1</v>
      </c>
      <c r="E175" s="3">
        <v>3</v>
      </c>
      <c r="F175" s="29" t="str">
        <f>IF(E175=1,G175&amp;" 골드",IF(E175=2,INDEX('02.CardData'!E:E,MATCH(G175,'02.CardData'!B:B,0)),IF(E175=3,INDEX('03.RelicData'!E:E,MATCH(G175,'03.RelicData'!A:A,0)),IF(E175=4,INDEX('06.PackData'!C:C,MATCH(G175,'06.PackData'!A:A,0)),"X"))))</f>
        <v>유적 조사 노트</v>
      </c>
      <c r="G175" s="3" t="s">
        <v>349</v>
      </c>
      <c r="H175" s="3">
        <v>1</v>
      </c>
    </row>
    <row r="176" spans="1:8" x14ac:dyDescent="0.3">
      <c r="A176" s="3">
        <f t="shared" si="2"/>
        <v>175</v>
      </c>
      <c r="B176" s="3">
        <v>4</v>
      </c>
      <c r="C176" s="3">
        <v>10302</v>
      </c>
      <c r="D176" s="3">
        <v>1</v>
      </c>
      <c r="E176" s="3">
        <v>3</v>
      </c>
      <c r="F176" s="29" t="str">
        <f>IF(E176=1,G176&amp;" 골드",IF(E176=2,INDEX('02.CardData'!E:E,MATCH(G176,'02.CardData'!B:B,0)),IF(E176=3,INDEX('03.RelicData'!E:E,MATCH(G176,'03.RelicData'!A:A,0)),IF(E176=4,INDEX('06.PackData'!C:C,MATCH(G176,'06.PackData'!A:A,0)),"X"))))</f>
        <v>거래기록 장부</v>
      </c>
      <c r="G176" s="3" t="s">
        <v>350</v>
      </c>
      <c r="H176" s="3">
        <v>1</v>
      </c>
    </row>
    <row r="177" spans="1:8" x14ac:dyDescent="0.3">
      <c r="A177" s="3">
        <f t="shared" si="2"/>
        <v>176</v>
      </c>
      <c r="B177" s="3">
        <v>4</v>
      </c>
      <c r="C177" s="3">
        <v>10302</v>
      </c>
      <c r="D177" s="3">
        <v>1</v>
      </c>
      <c r="E177" s="3">
        <v>3</v>
      </c>
      <c r="F177" s="29" t="str">
        <f>IF(E177=1,G177&amp;" 골드",IF(E177=2,INDEX('02.CardData'!E:E,MATCH(G177,'02.CardData'!B:B,0)),IF(E177=3,INDEX('03.RelicData'!E:E,MATCH(G177,'03.RelicData'!A:A,0)),IF(E177=4,INDEX('06.PackData'!C:C,MATCH(G177,'06.PackData'!A:A,0)),"X"))))</f>
        <v>대못</v>
      </c>
      <c r="G177" s="3" t="s">
        <v>351</v>
      </c>
      <c r="H177" s="3">
        <v>1</v>
      </c>
    </row>
    <row r="178" spans="1:8" x14ac:dyDescent="0.3">
      <c r="A178" s="3">
        <f t="shared" si="2"/>
        <v>177</v>
      </c>
      <c r="B178" s="3">
        <v>4</v>
      </c>
      <c r="C178" s="3">
        <v>10302</v>
      </c>
      <c r="D178" s="3">
        <v>1</v>
      </c>
      <c r="E178" s="3">
        <v>3</v>
      </c>
      <c r="F178" s="29" t="str">
        <f>IF(E178=1,G178&amp;" 골드",IF(E178=2,INDEX('02.CardData'!E:E,MATCH(G178,'02.CardData'!B:B,0)),IF(E178=3,INDEX('03.RelicData'!E:E,MATCH(G178,'03.RelicData'!A:A,0)),IF(E178=4,INDEX('06.PackData'!C:C,MATCH(G178,'06.PackData'!A:A,0)),"X"))))</f>
        <v>균열 파편 강화*</v>
      </c>
      <c r="G178" s="3" t="s">
        <v>352</v>
      </c>
      <c r="H178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62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871</v>
      </c>
      <c r="B1" s="28" t="s">
        <v>875</v>
      </c>
      <c r="C1" s="28" t="s">
        <v>873</v>
      </c>
      <c r="D1" s="28" t="s">
        <v>822</v>
      </c>
      <c r="E1" s="28" t="s">
        <v>823</v>
      </c>
    </row>
    <row r="2" spans="1:14" x14ac:dyDescent="0.3">
      <c r="A2" s="28">
        <v>1</v>
      </c>
      <c r="B2" s="28">
        <v>1</v>
      </c>
      <c r="C2" s="28" t="s">
        <v>826</v>
      </c>
      <c r="D2" s="28">
        <v>6</v>
      </c>
      <c r="E2" s="28">
        <v>8</v>
      </c>
      <c r="H2" s="38" t="s">
        <v>882</v>
      </c>
      <c r="I2" s="39"/>
      <c r="J2" s="40"/>
    </row>
    <row r="3" spans="1:14" x14ac:dyDescent="0.3">
      <c r="A3" s="28">
        <v>2</v>
      </c>
      <c r="B3" s="28">
        <v>1</v>
      </c>
      <c r="C3" s="28" t="s">
        <v>827</v>
      </c>
      <c r="D3" s="28">
        <v>6</v>
      </c>
      <c r="E3" s="28">
        <v>8</v>
      </c>
      <c r="H3" s="2" t="s">
        <v>85</v>
      </c>
      <c r="I3" s="2" t="s">
        <v>86</v>
      </c>
      <c r="J3" s="2" t="s">
        <v>87</v>
      </c>
    </row>
    <row r="4" spans="1:14" x14ac:dyDescent="0.3">
      <c r="A4" s="28">
        <v>3</v>
      </c>
      <c r="B4" s="28">
        <v>1</v>
      </c>
      <c r="C4" s="28" t="s">
        <v>166</v>
      </c>
      <c r="D4" s="28">
        <v>11</v>
      </c>
      <c r="E4" s="28">
        <v>13</v>
      </c>
      <c r="H4" s="2" t="s">
        <v>870</v>
      </c>
      <c r="I4" s="6" t="s">
        <v>88</v>
      </c>
      <c r="J4" s="6" t="s">
        <v>88</v>
      </c>
    </row>
    <row r="5" spans="1:14" x14ac:dyDescent="0.3">
      <c r="A5" s="28">
        <v>4</v>
      </c>
      <c r="B5" s="28">
        <v>1</v>
      </c>
      <c r="C5" s="28" t="s">
        <v>167</v>
      </c>
      <c r="D5" s="28">
        <v>11</v>
      </c>
      <c r="E5" s="28">
        <v>13</v>
      </c>
      <c r="H5" s="2" t="s">
        <v>874</v>
      </c>
      <c r="I5" s="6" t="s">
        <v>885</v>
      </c>
      <c r="J5" s="6" t="s">
        <v>100</v>
      </c>
      <c r="L5" s="45" t="s">
        <v>887</v>
      </c>
      <c r="M5" s="45"/>
      <c r="N5" s="45"/>
    </row>
    <row r="6" spans="1:14" x14ac:dyDescent="0.3">
      <c r="A6" s="28">
        <v>5</v>
      </c>
      <c r="B6" s="28">
        <v>1</v>
      </c>
      <c r="C6" s="28" t="s">
        <v>168</v>
      </c>
      <c r="D6" s="28">
        <v>6</v>
      </c>
      <c r="E6" s="28">
        <v>8</v>
      </c>
      <c r="H6" s="2" t="s">
        <v>872</v>
      </c>
      <c r="I6" s="6" t="s">
        <v>886</v>
      </c>
      <c r="J6" s="6" t="s">
        <v>88</v>
      </c>
      <c r="L6" s="3" t="s">
        <v>849</v>
      </c>
      <c r="M6" s="3" t="s">
        <v>86</v>
      </c>
      <c r="N6" s="3" t="s">
        <v>873</v>
      </c>
    </row>
    <row r="7" spans="1:14" x14ac:dyDescent="0.3">
      <c r="A7" s="28">
        <v>6</v>
      </c>
      <c r="B7" s="28">
        <v>1</v>
      </c>
      <c r="C7" s="28" t="s">
        <v>169</v>
      </c>
      <c r="D7" s="28">
        <v>11</v>
      </c>
      <c r="E7" s="28">
        <v>13</v>
      </c>
      <c r="H7" s="2" t="s">
        <v>822</v>
      </c>
      <c r="I7" s="6" t="s">
        <v>883</v>
      </c>
      <c r="J7" s="6" t="s">
        <v>122</v>
      </c>
      <c r="L7" s="3">
        <v>1</v>
      </c>
      <c r="M7" s="3" t="s">
        <v>90</v>
      </c>
      <c r="N7" s="3" t="s">
        <v>889</v>
      </c>
    </row>
    <row r="8" spans="1:14" x14ac:dyDescent="0.3">
      <c r="A8" s="28">
        <v>7</v>
      </c>
      <c r="B8" s="28">
        <v>1</v>
      </c>
      <c r="C8" s="28" t="s">
        <v>170</v>
      </c>
      <c r="D8" s="28">
        <v>6</v>
      </c>
      <c r="E8" s="28">
        <v>8</v>
      </c>
      <c r="H8" s="2" t="s">
        <v>823</v>
      </c>
      <c r="I8" s="6" t="s">
        <v>884</v>
      </c>
      <c r="J8" s="6" t="s">
        <v>122</v>
      </c>
      <c r="L8" s="3">
        <v>2</v>
      </c>
      <c r="M8" s="3" t="s">
        <v>888</v>
      </c>
      <c r="N8" s="3" t="s">
        <v>890</v>
      </c>
    </row>
    <row r="9" spans="1:14" x14ac:dyDescent="0.3">
      <c r="A9" s="28">
        <v>8</v>
      </c>
      <c r="B9" s="28">
        <v>1</v>
      </c>
      <c r="C9" s="28" t="s">
        <v>171</v>
      </c>
      <c r="D9" s="28">
        <v>11</v>
      </c>
      <c r="E9" s="28">
        <v>13</v>
      </c>
      <c r="L9" s="3">
        <v>3</v>
      </c>
      <c r="M9" s="3" t="s">
        <v>902</v>
      </c>
      <c r="N9" s="3" t="s">
        <v>903</v>
      </c>
    </row>
    <row r="10" spans="1:14" x14ac:dyDescent="0.3">
      <c r="A10" s="28">
        <v>9</v>
      </c>
      <c r="B10" s="28">
        <v>1</v>
      </c>
      <c r="C10" s="28" t="s">
        <v>828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876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174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175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176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177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178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179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180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181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182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183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829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877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399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402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830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878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831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879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880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337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338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339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340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341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342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343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344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345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346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347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348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349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350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351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352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353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354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355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356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357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881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895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904</v>
      </c>
      <c r="D54" s="28">
        <v>15</v>
      </c>
      <c r="E54" s="28">
        <v>25</v>
      </c>
    </row>
    <row r="55" spans="1:5" x14ac:dyDescent="0.3">
      <c r="A55" s="28">
        <v>54</v>
      </c>
      <c r="B55" s="28">
        <v>1</v>
      </c>
      <c r="C55" s="3" t="s">
        <v>1108</v>
      </c>
      <c r="D55" s="28">
        <v>15</v>
      </c>
      <c r="E55" s="28">
        <v>20</v>
      </c>
    </row>
    <row r="56" spans="1:5" x14ac:dyDescent="0.3">
      <c r="A56" s="28">
        <v>55</v>
      </c>
      <c r="B56" s="28">
        <v>1</v>
      </c>
      <c r="C56" s="3" t="s">
        <v>1109</v>
      </c>
      <c r="D56" s="28">
        <v>20</v>
      </c>
      <c r="E56" s="28">
        <v>25</v>
      </c>
    </row>
    <row r="57" spans="1:5" x14ac:dyDescent="0.3">
      <c r="A57" s="28">
        <v>56</v>
      </c>
      <c r="B57" s="28">
        <v>1</v>
      </c>
      <c r="C57" s="3" t="s">
        <v>1110</v>
      </c>
      <c r="D57" s="28">
        <v>8</v>
      </c>
      <c r="E57" s="28">
        <v>12</v>
      </c>
    </row>
    <row r="58" spans="1:5" x14ac:dyDescent="0.3">
      <c r="A58" s="28">
        <v>57</v>
      </c>
      <c r="B58" s="28">
        <v>1</v>
      </c>
      <c r="C58" s="3" t="s">
        <v>1111</v>
      </c>
      <c r="D58" s="28">
        <v>13</v>
      </c>
      <c r="E58" s="28">
        <v>17</v>
      </c>
    </row>
    <row r="59" spans="1:5" x14ac:dyDescent="0.3">
      <c r="A59" s="28">
        <v>58</v>
      </c>
      <c r="B59" s="28">
        <v>1</v>
      </c>
      <c r="C59" s="3" t="s">
        <v>1112</v>
      </c>
      <c r="D59" s="28">
        <v>15</v>
      </c>
      <c r="E59" s="28">
        <v>20</v>
      </c>
    </row>
    <row r="60" spans="1:5" x14ac:dyDescent="0.3">
      <c r="A60" s="28">
        <v>59</v>
      </c>
      <c r="B60" s="28">
        <v>1</v>
      </c>
      <c r="C60" s="3" t="s">
        <v>1113</v>
      </c>
      <c r="D60" s="28">
        <v>20</v>
      </c>
      <c r="E60" s="28">
        <v>25</v>
      </c>
    </row>
    <row r="61" spans="1:5" x14ac:dyDescent="0.3">
      <c r="A61" s="28">
        <v>60</v>
      </c>
      <c r="B61" s="28">
        <v>1</v>
      </c>
      <c r="C61" s="3" t="s">
        <v>1114</v>
      </c>
      <c r="D61" s="28">
        <v>15</v>
      </c>
      <c r="E61" s="28">
        <v>20</v>
      </c>
    </row>
    <row r="62" spans="1:5" x14ac:dyDescent="0.3">
      <c r="A62" s="28">
        <v>61</v>
      </c>
      <c r="B62" s="28">
        <v>1</v>
      </c>
      <c r="C62" s="3" t="s">
        <v>1115</v>
      </c>
      <c r="D62" s="28">
        <v>20</v>
      </c>
      <c r="E62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869</v>
      </c>
      <c r="B1" s="3" t="s">
        <v>892</v>
      </c>
      <c r="C1" s="3" t="s">
        <v>925</v>
      </c>
      <c r="D1" s="3" t="s">
        <v>893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8" t="s">
        <v>938</v>
      </c>
      <c r="H2" s="39"/>
      <c r="I2" s="40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85</v>
      </c>
      <c r="H3" s="2" t="s">
        <v>86</v>
      </c>
      <c r="I3" s="2" t="s">
        <v>87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833</v>
      </c>
      <c r="H4" s="6" t="s">
        <v>88</v>
      </c>
      <c r="I4" s="6" t="s">
        <v>88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891</v>
      </c>
      <c r="H5" s="6" t="s">
        <v>924</v>
      </c>
      <c r="I5" s="6" t="s">
        <v>88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925</v>
      </c>
      <c r="H6" s="6" t="s">
        <v>922</v>
      </c>
      <c r="I6" s="6" t="s">
        <v>100</v>
      </c>
      <c r="K6" s="45" t="s">
        <v>937</v>
      </c>
      <c r="L6" s="45"/>
      <c r="M6" s="45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837</v>
      </c>
      <c r="H7" s="6" t="s">
        <v>923</v>
      </c>
      <c r="I7" s="6" t="s">
        <v>88</v>
      </c>
      <c r="K7" s="3" t="s">
        <v>849</v>
      </c>
      <c r="L7" s="3" t="s">
        <v>927</v>
      </c>
      <c r="M7" s="3" t="s">
        <v>926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928</v>
      </c>
      <c r="M8" s="3" t="s">
        <v>935</v>
      </c>
    </row>
    <row r="9" spans="1:13" x14ac:dyDescent="0.3">
      <c r="K9" s="3">
        <v>2</v>
      </c>
      <c r="L9" s="3" t="s">
        <v>929</v>
      </c>
      <c r="M9" s="3" t="s">
        <v>935</v>
      </c>
    </row>
    <row r="10" spans="1:13" x14ac:dyDescent="0.3">
      <c r="K10" s="3">
        <v>3</v>
      </c>
      <c r="L10" s="3" t="s">
        <v>930</v>
      </c>
      <c r="M10" s="3" t="s">
        <v>935</v>
      </c>
    </row>
    <row r="11" spans="1:13" x14ac:dyDescent="0.3">
      <c r="K11" s="3">
        <v>4</v>
      </c>
      <c r="L11" s="3" t="s">
        <v>931</v>
      </c>
      <c r="M11" s="3" t="s">
        <v>858</v>
      </c>
    </row>
    <row r="12" spans="1:13" x14ac:dyDescent="0.3">
      <c r="K12" s="3">
        <v>5</v>
      </c>
      <c r="L12" s="3" t="s">
        <v>932</v>
      </c>
      <c r="M12" s="3" t="s">
        <v>858</v>
      </c>
    </row>
    <row r="13" spans="1:13" x14ac:dyDescent="0.3">
      <c r="K13" s="3">
        <v>6</v>
      </c>
      <c r="L13" s="3" t="s">
        <v>933</v>
      </c>
      <c r="M13" s="3" t="s">
        <v>936</v>
      </c>
    </row>
    <row r="14" spans="1:13" x14ac:dyDescent="0.3">
      <c r="K14" s="3">
        <v>7</v>
      </c>
      <c r="L14" s="3" t="s">
        <v>934</v>
      </c>
      <c r="M14" s="3" t="s">
        <v>936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/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871</v>
      </c>
      <c r="B1" s="3" t="s">
        <v>913</v>
      </c>
      <c r="C1" s="3" t="s">
        <v>915</v>
      </c>
      <c r="D1" s="3" t="s">
        <v>917</v>
      </c>
      <c r="E1" s="3" t="s">
        <v>919</v>
      </c>
    </row>
    <row r="2" spans="1:10" x14ac:dyDescent="0.3">
      <c r="A2" s="3">
        <v>1</v>
      </c>
      <c r="B2" s="3">
        <v>1</v>
      </c>
      <c r="C2" s="3" t="s">
        <v>920</v>
      </c>
      <c r="D2" s="3">
        <v>5</v>
      </c>
      <c r="E2" s="3">
        <v>1101</v>
      </c>
      <c r="H2" s="38" t="s">
        <v>943</v>
      </c>
      <c r="I2" s="39"/>
      <c r="J2" s="40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85</v>
      </c>
      <c r="I3" s="2" t="s">
        <v>86</v>
      </c>
      <c r="J3" s="2" t="s">
        <v>87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870</v>
      </c>
      <c r="I4" s="6" t="s">
        <v>88</v>
      </c>
      <c r="J4" s="6" t="s">
        <v>88</v>
      </c>
    </row>
    <row r="5" spans="1:10" x14ac:dyDescent="0.3">
      <c r="H5" s="2" t="s">
        <v>913</v>
      </c>
      <c r="I5" s="6" t="s">
        <v>939</v>
      </c>
      <c r="J5" s="6" t="s">
        <v>88</v>
      </c>
    </row>
    <row r="6" spans="1:10" x14ac:dyDescent="0.3">
      <c r="H6" s="2" t="s">
        <v>914</v>
      </c>
      <c r="I6" s="6" t="s">
        <v>940</v>
      </c>
      <c r="J6" s="6" t="s">
        <v>100</v>
      </c>
    </row>
    <row r="7" spans="1:10" x14ac:dyDescent="0.3">
      <c r="H7" s="2" t="s">
        <v>916</v>
      </c>
      <c r="I7" s="6" t="s">
        <v>941</v>
      </c>
      <c r="J7" s="6" t="s">
        <v>122</v>
      </c>
    </row>
    <row r="8" spans="1:10" x14ac:dyDescent="0.3">
      <c r="H8" s="2" t="s">
        <v>918</v>
      </c>
      <c r="I8" s="6" t="s">
        <v>942</v>
      </c>
      <c r="J8" s="6" t="s">
        <v>88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870</v>
      </c>
      <c r="B1" s="3" t="s">
        <v>982</v>
      </c>
      <c r="C1" s="3" t="s">
        <v>983</v>
      </c>
      <c r="D1" s="3" t="s">
        <v>995</v>
      </c>
      <c r="E1" s="3" t="s">
        <v>984</v>
      </c>
      <c r="F1" s="3" t="s">
        <v>985</v>
      </c>
      <c r="G1" s="3" t="s">
        <v>993</v>
      </c>
      <c r="H1" s="3" t="s">
        <v>986</v>
      </c>
      <c r="I1" s="3" t="s">
        <v>987</v>
      </c>
      <c r="J1" s="3" t="s">
        <v>988</v>
      </c>
      <c r="K1" s="3" t="s">
        <v>989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8" t="s">
        <v>1014</v>
      </c>
      <c r="O2" s="39"/>
      <c r="P2" s="40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85</v>
      </c>
      <c r="O3" s="2" t="s">
        <v>86</v>
      </c>
      <c r="P3" s="2" t="s">
        <v>87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870</v>
      </c>
      <c r="O4" s="6" t="s">
        <v>88</v>
      </c>
      <c r="P4" s="6" t="s">
        <v>88</v>
      </c>
    </row>
    <row r="5" spans="1:19" x14ac:dyDescent="0.3">
      <c r="N5" s="2" t="s">
        <v>982</v>
      </c>
      <c r="O5" s="6" t="s">
        <v>990</v>
      </c>
      <c r="P5" s="6" t="s">
        <v>100</v>
      </c>
      <c r="R5" s="38" t="s">
        <v>990</v>
      </c>
      <c r="S5" s="40"/>
    </row>
    <row r="6" spans="1:19" x14ac:dyDescent="0.3">
      <c r="N6" s="2" t="s">
        <v>983</v>
      </c>
      <c r="O6" s="6" t="s">
        <v>991</v>
      </c>
      <c r="P6" s="6" t="s">
        <v>122</v>
      </c>
      <c r="R6" s="3" t="s">
        <v>849</v>
      </c>
      <c r="S6" s="3" t="s">
        <v>1004</v>
      </c>
    </row>
    <row r="7" spans="1:19" x14ac:dyDescent="0.3">
      <c r="N7" s="2" t="s">
        <v>994</v>
      </c>
      <c r="O7" s="6" t="s">
        <v>996</v>
      </c>
      <c r="P7" s="6" t="s">
        <v>122</v>
      </c>
      <c r="R7" s="3">
        <v>1</v>
      </c>
      <c r="S7" s="3" t="s">
        <v>1005</v>
      </c>
    </row>
    <row r="8" spans="1:19" x14ac:dyDescent="0.3">
      <c r="N8" s="2" t="s">
        <v>984</v>
      </c>
      <c r="O8" s="6" t="s">
        <v>992</v>
      </c>
      <c r="P8" s="6" t="s">
        <v>1003</v>
      </c>
      <c r="R8" s="3">
        <v>2</v>
      </c>
      <c r="S8" s="3" t="s">
        <v>1006</v>
      </c>
    </row>
    <row r="9" spans="1:19" x14ac:dyDescent="0.3">
      <c r="N9" s="2" t="s">
        <v>985</v>
      </c>
      <c r="O9" s="6" t="s">
        <v>999</v>
      </c>
      <c r="P9" s="6" t="s">
        <v>1003</v>
      </c>
      <c r="R9" s="3">
        <v>3</v>
      </c>
      <c r="S9" s="3" t="s">
        <v>1007</v>
      </c>
    </row>
    <row r="10" spans="1:19" x14ac:dyDescent="0.3">
      <c r="N10" s="2" t="s">
        <v>993</v>
      </c>
      <c r="O10" s="6" t="s">
        <v>1000</v>
      </c>
      <c r="P10" s="6" t="s">
        <v>1003</v>
      </c>
    </row>
    <row r="11" spans="1:19" x14ac:dyDescent="0.3">
      <c r="N11" s="2" t="s">
        <v>986</v>
      </c>
      <c r="O11" s="6" t="s">
        <v>997</v>
      </c>
      <c r="P11" s="6" t="s">
        <v>1003</v>
      </c>
    </row>
    <row r="12" spans="1:19" x14ac:dyDescent="0.3">
      <c r="N12" s="2" t="s">
        <v>987</v>
      </c>
      <c r="O12" s="6" t="s">
        <v>998</v>
      </c>
      <c r="P12" s="6" t="s">
        <v>1003</v>
      </c>
    </row>
    <row r="13" spans="1:19" x14ac:dyDescent="0.3">
      <c r="N13" s="2" t="s">
        <v>988</v>
      </c>
      <c r="O13" s="6" t="s">
        <v>1001</v>
      </c>
      <c r="P13" s="6" t="s">
        <v>88</v>
      </c>
    </row>
    <row r="14" spans="1:19" x14ac:dyDescent="0.3">
      <c r="N14" s="2" t="s">
        <v>989</v>
      </c>
      <c r="O14" s="6" t="s">
        <v>1002</v>
      </c>
      <c r="P14" s="6" t="s">
        <v>88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869</v>
      </c>
      <c r="B1" s="28" t="s">
        <v>69</v>
      </c>
      <c r="C1" s="28" t="s">
        <v>1009</v>
      </c>
      <c r="D1" s="28" t="s">
        <v>721</v>
      </c>
    </row>
    <row r="2" spans="1:9" x14ac:dyDescent="0.3">
      <c r="A2" s="28">
        <v>1</v>
      </c>
      <c r="B2" s="28" t="s">
        <v>139</v>
      </c>
      <c r="C2" s="28">
        <v>1</v>
      </c>
      <c r="D2" s="28">
        <v>1</v>
      </c>
      <c r="G2" s="38" t="s">
        <v>1015</v>
      </c>
      <c r="H2" s="39"/>
      <c r="I2" s="40"/>
    </row>
    <row r="3" spans="1:9" x14ac:dyDescent="0.3">
      <c r="G3" s="2" t="s">
        <v>85</v>
      </c>
      <c r="H3" s="2" t="s">
        <v>86</v>
      </c>
      <c r="I3" s="2" t="s">
        <v>87</v>
      </c>
    </row>
    <row r="4" spans="1:9" x14ac:dyDescent="0.3">
      <c r="G4" s="2" t="s">
        <v>833</v>
      </c>
      <c r="H4" s="6" t="s">
        <v>88</v>
      </c>
      <c r="I4" s="6" t="s">
        <v>88</v>
      </c>
    </row>
    <row r="5" spans="1:9" x14ac:dyDescent="0.3">
      <c r="G5" s="2" t="s">
        <v>860</v>
      </c>
      <c r="H5" s="6" t="s">
        <v>1011</v>
      </c>
      <c r="I5" s="6" t="s">
        <v>88</v>
      </c>
    </row>
    <row r="6" spans="1:9" x14ac:dyDescent="0.3">
      <c r="G6" s="2" t="s">
        <v>1008</v>
      </c>
      <c r="H6" s="6" t="s">
        <v>1012</v>
      </c>
      <c r="I6" s="6" t="s">
        <v>88</v>
      </c>
    </row>
    <row r="7" spans="1:9" x14ac:dyDescent="0.3">
      <c r="G7" s="2" t="s">
        <v>1010</v>
      </c>
      <c r="H7" s="6" t="s">
        <v>1013</v>
      </c>
      <c r="I7" s="6" t="s">
        <v>1003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871</v>
      </c>
      <c r="B1" s="31" t="s">
        <v>1009</v>
      </c>
      <c r="C1" s="31" t="s">
        <v>1036</v>
      </c>
    </row>
    <row r="2" spans="1:11" x14ac:dyDescent="0.3">
      <c r="A2" s="31">
        <v>1</v>
      </c>
      <c r="B2" s="31">
        <v>101</v>
      </c>
      <c r="C2" s="31">
        <v>0</v>
      </c>
      <c r="F2" s="38" t="s">
        <v>1028</v>
      </c>
      <c r="G2" s="39"/>
      <c r="H2" s="40"/>
    </row>
    <row r="3" spans="1:11" x14ac:dyDescent="0.3">
      <c r="A3" s="31">
        <v>2</v>
      </c>
      <c r="B3" s="31">
        <v>102</v>
      </c>
      <c r="C3" s="31">
        <v>0</v>
      </c>
      <c r="F3" s="2" t="s">
        <v>85</v>
      </c>
      <c r="G3" s="2" t="s">
        <v>86</v>
      </c>
      <c r="H3" s="2" t="s">
        <v>87</v>
      </c>
    </row>
    <row r="4" spans="1:11" x14ac:dyDescent="0.3">
      <c r="A4" s="31">
        <v>3</v>
      </c>
      <c r="B4" s="31">
        <v>103</v>
      </c>
      <c r="C4" s="31">
        <v>0</v>
      </c>
      <c r="F4" s="2" t="s">
        <v>870</v>
      </c>
      <c r="G4" s="6" t="s">
        <v>88</v>
      </c>
      <c r="H4" s="6" t="s">
        <v>88</v>
      </c>
    </row>
    <row r="5" spans="1:11" x14ac:dyDescent="0.3">
      <c r="F5" s="2" t="s">
        <v>1008</v>
      </c>
      <c r="G5" s="6" t="s">
        <v>1019</v>
      </c>
      <c r="H5" s="6" t="s">
        <v>88</v>
      </c>
    </row>
    <row r="6" spans="1:11" x14ac:dyDescent="0.3">
      <c r="F6" s="2" t="s">
        <v>1035</v>
      </c>
      <c r="G6" s="6" t="s">
        <v>1020</v>
      </c>
      <c r="H6" s="6" t="s">
        <v>100</v>
      </c>
      <c r="J6" s="38" t="s">
        <v>1035</v>
      </c>
      <c r="K6" s="40"/>
    </row>
    <row r="7" spans="1:11" x14ac:dyDescent="0.3">
      <c r="J7" s="3" t="s">
        <v>849</v>
      </c>
      <c r="K7" s="3" t="s">
        <v>1004</v>
      </c>
    </row>
    <row r="8" spans="1:11" x14ac:dyDescent="0.3">
      <c r="J8" s="3">
        <v>0</v>
      </c>
      <c r="K8" s="3" t="s">
        <v>1037</v>
      </c>
    </row>
    <row r="9" spans="1:11" x14ac:dyDescent="0.3">
      <c r="J9" s="3">
        <v>1</v>
      </c>
      <c r="K9" s="3" t="s">
        <v>1038</v>
      </c>
    </row>
    <row r="10" spans="1:11" x14ac:dyDescent="0.3">
      <c r="J10" s="3">
        <v>2</v>
      </c>
      <c r="K10" s="3" t="s">
        <v>1039</v>
      </c>
    </row>
    <row r="11" spans="1:11" x14ac:dyDescent="0.3">
      <c r="J11" s="3">
        <v>3</v>
      </c>
      <c r="K11" s="3" t="s">
        <v>1040</v>
      </c>
    </row>
    <row r="12" spans="1:11" x14ac:dyDescent="0.3">
      <c r="J12" s="3">
        <v>4</v>
      </c>
      <c r="K12" s="3" t="s">
        <v>1041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/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871</v>
      </c>
      <c r="B1" s="3" t="s">
        <v>1009</v>
      </c>
      <c r="C1" s="3" t="s">
        <v>722</v>
      </c>
      <c r="D1" s="26" t="s">
        <v>723</v>
      </c>
      <c r="E1" s="3" t="s">
        <v>944</v>
      </c>
      <c r="F1" s="3" t="s">
        <v>724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8" t="s">
        <v>1028</v>
      </c>
      <c r="J2" s="39"/>
      <c r="K2" s="40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85</v>
      </c>
      <c r="J3" s="2" t="s">
        <v>86</v>
      </c>
      <c r="K3" s="2" t="s">
        <v>87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870</v>
      </c>
      <c r="J4" s="6" t="s">
        <v>88</v>
      </c>
      <c r="K4" s="6" t="s">
        <v>88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1008</v>
      </c>
      <c r="J5" s="6" t="s">
        <v>1019</v>
      </c>
      <c r="K5" s="6" t="s">
        <v>88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722</v>
      </c>
      <c r="J6" s="6" t="s">
        <v>1020</v>
      </c>
      <c r="K6" s="6" t="s">
        <v>100</v>
      </c>
      <c r="M6" s="45" t="s">
        <v>1023</v>
      </c>
      <c r="N6" s="45"/>
      <c r="O6" s="45"/>
      <c r="P6" s="45"/>
      <c r="Q6" s="45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1017</v>
      </c>
      <c r="J7" s="6" t="s">
        <v>1021</v>
      </c>
      <c r="K7" s="6" t="s">
        <v>100</v>
      </c>
      <c r="M7" s="2" t="s">
        <v>1016</v>
      </c>
      <c r="N7" s="2" t="s">
        <v>86</v>
      </c>
      <c r="O7" s="2" t="s">
        <v>1017</v>
      </c>
      <c r="P7" s="2" t="s">
        <v>1018</v>
      </c>
      <c r="Q7" s="2" t="s">
        <v>854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1018</v>
      </c>
      <c r="J8" s="6" t="s">
        <v>1022</v>
      </c>
      <c r="K8" s="6" t="s">
        <v>122</v>
      </c>
      <c r="M8" s="3">
        <v>1</v>
      </c>
      <c r="N8" s="3" t="s">
        <v>1024</v>
      </c>
      <c r="O8" s="3" t="s">
        <v>1030</v>
      </c>
      <c r="P8" s="3" t="s">
        <v>1031</v>
      </c>
      <c r="Q8" s="3"/>
    </row>
    <row r="9" spans="1:17" x14ac:dyDescent="0.3">
      <c r="M9" s="3">
        <v>2</v>
      </c>
      <c r="N9" s="3" t="s">
        <v>1025</v>
      </c>
      <c r="O9" s="27" t="s">
        <v>860</v>
      </c>
      <c r="P9" s="27" t="s">
        <v>857</v>
      </c>
      <c r="Q9" s="27" t="s">
        <v>861</v>
      </c>
    </row>
    <row r="10" spans="1:17" x14ac:dyDescent="0.3">
      <c r="M10" s="3">
        <v>3</v>
      </c>
      <c r="N10" s="3" t="s">
        <v>1026</v>
      </c>
      <c r="O10" s="27" t="s">
        <v>317</v>
      </c>
      <c r="P10" s="27" t="s">
        <v>857</v>
      </c>
      <c r="Q10" s="27" t="s">
        <v>862</v>
      </c>
    </row>
    <row r="11" spans="1:17" x14ac:dyDescent="0.3">
      <c r="M11" s="3">
        <v>4</v>
      </c>
      <c r="N11" s="3" t="s">
        <v>1027</v>
      </c>
      <c r="O11" s="3" t="s">
        <v>702</v>
      </c>
      <c r="P11" s="27" t="s">
        <v>857</v>
      </c>
      <c r="Q11" s="27" t="s">
        <v>866</v>
      </c>
    </row>
    <row r="12" spans="1:17" x14ac:dyDescent="0.3">
      <c r="M12" s="3">
        <v>6</v>
      </c>
      <c r="N12" s="3" t="s">
        <v>1029</v>
      </c>
      <c r="O12" s="3" t="s">
        <v>720</v>
      </c>
      <c r="P12" s="27" t="s">
        <v>857</v>
      </c>
      <c r="Q12" s="3" t="s">
        <v>1032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2026-05-26T12:38:51Z</dcterms:modified>
</cp:coreProperties>
</file>
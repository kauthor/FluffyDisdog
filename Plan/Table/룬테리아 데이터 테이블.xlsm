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E:\인디\FluffyDisdog\Plan\Table\"/>
    </mc:Choice>
  </mc:AlternateContent>
  <xr:revisionPtr revIDLastSave="0" documentId="13_ncr:1_{376866F9-6052-4652-9472-0A3F681DDFFC}" xr6:coauthVersionLast="47" xr6:coauthVersionMax="47" xr10:uidLastSave="{00000000-0000-0000-0000-000000000000}"/>
  <bookViews>
    <workbookView xWindow="12570" yWindow="2490" windowWidth="14505" windowHeight="13485" firstSheet="6" activeTab="8" xr2:uid="{E6CC56F1-2CE1-456B-A8FF-493EFAD59D9F}"/>
  </bookViews>
  <sheets>
    <sheet name="룬테리아 데이터 테이블 정보" sheetId="1" r:id="rId1"/>
    <sheet name="01.BaseData" sheetId="2" r:id="rId2"/>
    <sheet name="02.CardData" sheetId="3" r:id="rId3"/>
    <sheet name="카드 태그 계산기" sheetId="5" r:id="rId4"/>
    <sheet name="03.RelicData" sheetId="4" r:id="rId5"/>
    <sheet name="04.CardAddData" sheetId="6" r:id="rId6"/>
    <sheet name="05.TagData" sheetId="7" r:id="rId7"/>
    <sheet name="06.PackData" sheetId="8" r:id="rId8"/>
    <sheet name="07.GachaData" sheetId="9" r:id="rId9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M3" i="3" l="1"/>
  <c r="M4" i="3"/>
  <c r="M5" i="3"/>
  <c r="M6" i="3"/>
  <c r="M7" i="3"/>
  <c r="M8" i="3"/>
  <c r="M9" i="3"/>
  <c r="M10" i="3"/>
  <c r="M11" i="3"/>
  <c r="M12" i="3"/>
  <c r="M13" i="3"/>
  <c r="M14" i="3"/>
  <c r="M15" i="3"/>
  <c r="M16" i="3"/>
  <c r="M17" i="3"/>
  <c r="M18" i="3"/>
  <c r="M19" i="3"/>
  <c r="M20" i="3"/>
  <c r="M21" i="3"/>
  <c r="M22" i="3"/>
  <c r="M23" i="3"/>
  <c r="M24" i="3"/>
  <c r="M25" i="3"/>
  <c r="M26" i="3"/>
  <c r="M27" i="3"/>
  <c r="M28" i="3"/>
  <c r="M29" i="3"/>
  <c r="M30" i="3"/>
  <c r="M31" i="3"/>
  <c r="M32" i="3"/>
  <c r="M33" i="3"/>
  <c r="M34" i="3"/>
  <c r="M35" i="3"/>
  <c r="M2" i="3"/>
  <c r="C3" i="5"/>
  <c r="C4" i="5"/>
  <c r="C5" i="5"/>
  <c r="C6" i="5"/>
  <c r="C7" i="5"/>
  <c r="C8" i="5"/>
  <c r="C9" i="5"/>
  <c r="C10" i="5"/>
  <c r="C11" i="5"/>
  <c r="C12" i="5"/>
  <c r="C13" i="5"/>
  <c r="C14" i="5"/>
  <c r="C15" i="5"/>
  <c r="C16" i="5"/>
  <c r="C17" i="5"/>
  <c r="C18" i="5"/>
  <c r="C19" i="5"/>
  <c r="C20" i="5"/>
  <c r="C21" i="5"/>
  <c r="C22" i="5"/>
  <c r="C23" i="5"/>
  <c r="C24" i="5"/>
  <c r="C25" i="5"/>
  <c r="C26" i="5"/>
  <c r="C27" i="5"/>
  <c r="C28" i="5"/>
  <c r="C29" i="5"/>
  <c r="C30" i="5"/>
  <c r="C31" i="5"/>
  <c r="C32" i="5"/>
  <c r="C33" i="5"/>
  <c r="C34" i="5"/>
  <c r="C35" i="5"/>
  <c r="C2" i="5"/>
  <c r="O15" i="5"/>
  <c r="P15" i="5"/>
  <c r="Q15" i="5"/>
  <c r="R15" i="5"/>
  <c r="S15" i="5"/>
  <c r="T15" i="5"/>
  <c r="U15" i="5"/>
  <c r="V15" i="5"/>
  <c r="W15" i="5"/>
  <c r="X15" i="5"/>
  <c r="O16" i="5"/>
  <c r="P16" i="5"/>
  <c r="Q16" i="5"/>
  <c r="R16" i="5"/>
  <c r="S16" i="5"/>
  <c r="T16" i="5"/>
  <c r="U16" i="5"/>
  <c r="V16" i="5"/>
  <c r="W16" i="5"/>
  <c r="X16" i="5"/>
  <c r="O17" i="5"/>
  <c r="P17" i="5"/>
  <c r="Q17" i="5"/>
  <c r="R17" i="5"/>
  <c r="S17" i="5"/>
  <c r="T17" i="5"/>
  <c r="U17" i="5"/>
  <c r="V17" i="5"/>
  <c r="W17" i="5"/>
  <c r="X17" i="5"/>
  <c r="O18" i="5"/>
  <c r="P18" i="5"/>
  <c r="Q18" i="5"/>
  <c r="R18" i="5"/>
  <c r="S18" i="5"/>
  <c r="T18" i="5"/>
  <c r="U18" i="5"/>
  <c r="V18" i="5"/>
  <c r="W18" i="5"/>
  <c r="X18" i="5"/>
  <c r="O19" i="5"/>
  <c r="P19" i="5"/>
  <c r="Q19" i="5"/>
  <c r="R19" i="5"/>
  <c r="S19" i="5"/>
  <c r="T19" i="5"/>
  <c r="U19" i="5"/>
  <c r="V19" i="5"/>
  <c r="W19" i="5"/>
  <c r="X19" i="5"/>
  <c r="O20" i="5"/>
  <c r="P20" i="5"/>
  <c r="Q20" i="5"/>
  <c r="R20" i="5"/>
  <c r="S20" i="5"/>
  <c r="T20" i="5"/>
  <c r="U20" i="5"/>
  <c r="V20" i="5"/>
  <c r="W20" i="5"/>
  <c r="X20" i="5"/>
  <c r="O21" i="5"/>
  <c r="P21" i="5"/>
  <c r="Q21" i="5"/>
  <c r="R21" i="5"/>
  <c r="S21" i="5"/>
  <c r="T21" i="5"/>
  <c r="U21" i="5"/>
  <c r="V21" i="5"/>
  <c r="W21" i="5"/>
  <c r="X21" i="5"/>
  <c r="O22" i="5"/>
  <c r="P22" i="5"/>
  <c r="Q22" i="5"/>
  <c r="R22" i="5"/>
  <c r="S22" i="5"/>
  <c r="T22" i="5"/>
  <c r="U22" i="5"/>
  <c r="V22" i="5"/>
  <c r="W22" i="5"/>
  <c r="X22" i="5"/>
  <c r="O23" i="5"/>
  <c r="P23" i="5"/>
  <c r="Q23" i="5"/>
  <c r="R23" i="5"/>
  <c r="S23" i="5"/>
  <c r="T23" i="5"/>
  <c r="U23" i="5"/>
  <c r="V23" i="5"/>
  <c r="W23" i="5"/>
  <c r="X23" i="5"/>
  <c r="O24" i="5"/>
  <c r="P24" i="5"/>
  <c r="Q24" i="5"/>
  <c r="R24" i="5"/>
  <c r="S24" i="5"/>
  <c r="T24" i="5"/>
  <c r="U24" i="5"/>
  <c r="V24" i="5"/>
  <c r="W24" i="5"/>
  <c r="X24" i="5"/>
  <c r="O25" i="5"/>
  <c r="P25" i="5"/>
  <c r="Q25" i="5"/>
  <c r="R25" i="5"/>
  <c r="S25" i="5"/>
  <c r="T25" i="5"/>
  <c r="U25" i="5"/>
  <c r="V25" i="5"/>
  <c r="W25" i="5"/>
  <c r="X25" i="5"/>
  <c r="O26" i="5"/>
  <c r="P26" i="5"/>
  <c r="Q26" i="5"/>
  <c r="R26" i="5"/>
  <c r="S26" i="5"/>
  <c r="T26" i="5"/>
  <c r="U26" i="5"/>
  <c r="V26" i="5"/>
  <c r="W26" i="5"/>
  <c r="X26" i="5"/>
  <c r="O27" i="5"/>
  <c r="P27" i="5"/>
  <c r="Q27" i="5"/>
  <c r="R27" i="5"/>
  <c r="S27" i="5"/>
  <c r="T27" i="5"/>
  <c r="U27" i="5"/>
  <c r="V27" i="5"/>
  <c r="W27" i="5"/>
  <c r="X27" i="5"/>
  <c r="O28" i="5"/>
  <c r="P28" i="5"/>
  <c r="Q28" i="5"/>
  <c r="R28" i="5"/>
  <c r="S28" i="5"/>
  <c r="T28" i="5"/>
  <c r="U28" i="5"/>
  <c r="V28" i="5"/>
  <c r="W28" i="5"/>
  <c r="X28" i="5"/>
  <c r="O29" i="5"/>
  <c r="P29" i="5"/>
  <c r="Q29" i="5"/>
  <c r="R29" i="5"/>
  <c r="S29" i="5"/>
  <c r="T29" i="5"/>
  <c r="U29" i="5"/>
  <c r="V29" i="5"/>
  <c r="W29" i="5"/>
  <c r="X29" i="5"/>
  <c r="O30" i="5"/>
  <c r="P30" i="5"/>
  <c r="Q30" i="5"/>
  <c r="R30" i="5"/>
  <c r="S30" i="5"/>
  <c r="T30" i="5"/>
  <c r="U30" i="5"/>
  <c r="V30" i="5"/>
  <c r="W30" i="5"/>
  <c r="X30" i="5"/>
  <c r="O31" i="5"/>
  <c r="P31" i="5"/>
  <c r="Q31" i="5"/>
  <c r="R31" i="5"/>
  <c r="S31" i="5"/>
  <c r="T31" i="5"/>
  <c r="U31" i="5"/>
  <c r="V31" i="5"/>
  <c r="W31" i="5"/>
  <c r="X31" i="5"/>
  <c r="O32" i="5"/>
  <c r="P32" i="5"/>
  <c r="Q32" i="5"/>
  <c r="R32" i="5"/>
  <c r="S32" i="5"/>
  <c r="T32" i="5"/>
  <c r="U32" i="5"/>
  <c r="V32" i="5"/>
  <c r="W32" i="5"/>
  <c r="X32" i="5"/>
  <c r="O33" i="5"/>
  <c r="P33" i="5"/>
  <c r="Q33" i="5"/>
  <c r="R33" i="5"/>
  <c r="S33" i="5"/>
  <c r="T33" i="5"/>
  <c r="U33" i="5"/>
  <c r="V33" i="5"/>
  <c r="W33" i="5"/>
  <c r="X33" i="5"/>
  <c r="O34" i="5"/>
  <c r="P34" i="5"/>
  <c r="Q34" i="5"/>
  <c r="R34" i="5"/>
  <c r="S34" i="5"/>
  <c r="T34" i="5"/>
  <c r="U34" i="5"/>
  <c r="V34" i="5"/>
  <c r="W34" i="5"/>
  <c r="X34" i="5"/>
  <c r="O35" i="5"/>
  <c r="P35" i="5"/>
  <c r="Q35" i="5"/>
  <c r="R35" i="5"/>
  <c r="S35" i="5"/>
  <c r="T35" i="5"/>
  <c r="U35" i="5"/>
  <c r="V35" i="5"/>
  <c r="W35" i="5"/>
  <c r="X35" i="5"/>
  <c r="O3" i="5"/>
  <c r="P3" i="5"/>
  <c r="Q3" i="5"/>
  <c r="R3" i="5"/>
  <c r="S3" i="5"/>
  <c r="T3" i="5"/>
  <c r="U3" i="5"/>
  <c r="V3" i="5"/>
  <c r="W3" i="5"/>
  <c r="X3" i="5"/>
  <c r="O4" i="5"/>
  <c r="P4" i="5"/>
  <c r="Q4" i="5"/>
  <c r="R4" i="5"/>
  <c r="S4" i="5"/>
  <c r="T4" i="5"/>
  <c r="U4" i="5"/>
  <c r="V4" i="5"/>
  <c r="W4" i="5"/>
  <c r="X4" i="5"/>
  <c r="O5" i="5"/>
  <c r="P5" i="5"/>
  <c r="Q5" i="5"/>
  <c r="R5" i="5"/>
  <c r="S5" i="5"/>
  <c r="T5" i="5"/>
  <c r="U5" i="5"/>
  <c r="V5" i="5"/>
  <c r="W5" i="5"/>
  <c r="X5" i="5"/>
  <c r="O6" i="5"/>
  <c r="P6" i="5"/>
  <c r="Q6" i="5"/>
  <c r="R6" i="5"/>
  <c r="S6" i="5"/>
  <c r="T6" i="5"/>
  <c r="U6" i="5"/>
  <c r="V6" i="5"/>
  <c r="W6" i="5"/>
  <c r="X6" i="5"/>
  <c r="O7" i="5"/>
  <c r="P7" i="5"/>
  <c r="Q7" i="5"/>
  <c r="R7" i="5"/>
  <c r="S7" i="5"/>
  <c r="T7" i="5"/>
  <c r="U7" i="5"/>
  <c r="V7" i="5"/>
  <c r="W7" i="5"/>
  <c r="X7" i="5"/>
  <c r="O8" i="5"/>
  <c r="P8" i="5"/>
  <c r="Q8" i="5"/>
  <c r="R8" i="5"/>
  <c r="S8" i="5"/>
  <c r="T8" i="5"/>
  <c r="U8" i="5"/>
  <c r="V8" i="5"/>
  <c r="W8" i="5"/>
  <c r="X8" i="5"/>
  <c r="O9" i="5"/>
  <c r="P9" i="5"/>
  <c r="Q9" i="5"/>
  <c r="R9" i="5"/>
  <c r="S9" i="5"/>
  <c r="T9" i="5"/>
  <c r="U9" i="5"/>
  <c r="V9" i="5"/>
  <c r="W9" i="5"/>
  <c r="X9" i="5"/>
  <c r="O10" i="5"/>
  <c r="P10" i="5"/>
  <c r="Q10" i="5"/>
  <c r="R10" i="5"/>
  <c r="S10" i="5"/>
  <c r="T10" i="5"/>
  <c r="U10" i="5"/>
  <c r="V10" i="5"/>
  <c r="W10" i="5"/>
  <c r="X10" i="5"/>
  <c r="O11" i="5"/>
  <c r="P11" i="5"/>
  <c r="Q11" i="5"/>
  <c r="R11" i="5"/>
  <c r="S11" i="5"/>
  <c r="T11" i="5"/>
  <c r="U11" i="5"/>
  <c r="V11" i="5"/>
  <c r="W11" i="5"/>
  <c r="X11" i="5"/>
  <c r="O12" i="5"/>
  <c r="P12" i="5"/>
  <c r="Q12" i="5"/>
  <c r="R12" i="5"/>
  <c r="S12" i="5"/>
  <c r="T12" i="5"/>
  <c r="U12" i="5"/>
  <c r="V12" i="5"/>
  <c r="W12" i="5"/>
  <c r="X12" i="5"/>
  <c r="O13" i="5"/>
  <c r="P13" i="5"/>
  <c r="Q13" i="5"/>
  <c r="R13" i="5"/>
  <c r="S13" i="5"/>
  <c r="T13" i="5"/>
  <c r="U13" i="5"/>
  <c r="V13" i="5"/>
  <c r="W13" i="5"/>
  <c r="X13" i="5"/>
  <c r="O14" i="5"/>
  <c r="P14" i="5"/>
  <c r="Q14" i="5"/>
  <c r="R14" i="5"/>
  <c r="S14" i="5"/>
  <c r="T14" i="5"/>
  <c r="U14" i="5"/>
  <c r="V14" i="5"/>
  <c r="W14" i="5"/>
  <c r="X14" i="5"/>
  <c r="P2" i="5"/>
  <c r="Q2" i="5"/>
  <c r="R2" i="5"/>
  <c r="S2" i="5"/>
  <c r="T2" i="5"/>
  <c r="U2" i="5"/>
  <c r="V2" i="5"/>
  <c r="W2" i="5"/>
  <c r="X2" i="5"/>
  <c r="O2" i="5"/>
  <c r="B3" i="5" l="1"/>
  <c r="B4" i="5"/>
  <c r="B5" i="5"/>
  <c r="B6" i="5"/>
  <c r="B7" i="5"/>
  <c r="B8" i="5"/>
  <c r="B9" i="5"/>
  <c r="B10" i="5"/>
  <c r="B11" i="5"/>
  <c r="B12" i="5"/>
  <c r="B13" i="5"/>
  <c r="B14" i="5"/>
  <c r="B15" i="5"/>
  <c r="B16" i="5"/>
  <c r="B17" i="5"/>
  <c r="B18" i="5"/>
  <c r="B19" i="5"/>
  <c r="B20" i="5"/>
  <c r="B21" i="5"/>
  <c r="B22" i="5"/>
  <c r="B23" i="5"/>
  <c r="B24" i="5"/>
  <c r="B25" i="5"/>
  <c r="B26" i="5"/>
  <c r="B27" i="5"/>
  <c r="B28" i="5"/>
  <c r="B29" i="5"/>
  <c r="B30" i="5"/>
  <c r="B31" i="5"/>
  <c r="B32" i="5"/>
  <c r="B33" i="5"/>
  <c r="B34" i="5"/>
  <c r="B35" i="5"/>
  <c r="B2" i="5"/>
</calcChain>
</file>

<file path=xl/sharedStrings.xml><?xml version="1.0" encoding="utf-8"?>
<sst xmlns="http://schemas.openxmlformats.org/spreadsheetml/2006/main" count="1388" uniqueCount="1068">
  <si>
    <t>데이터 관리 문서 참고 사항</t>
    <phoneticPr fontId="2" type="noConversion"/>
  </si>
  <si>
    <t>폰트</t>
    <phoneticPr fontId="2" type="noConversion"/>
  </si>
  <si>
    <t>테두리 색상</t>
    <phoneticPr fontId="2" type="noConversion"/>
  </si>
  <si>
    <t>폰트 사이즈</t>
    <phoneticPr fontId="2" type="noConversion"/>
  </si>
  <si>
    <t>9 pt</t>
    <phoneticPr fontId="2" type="noConversion"/>
  </si>
  <si>
    <t>맑은 고딕</t>
    <phoneticPr fontId="2" type="noConversion"/>
  </si>
  <si>
    <t>흰색, 배경 1, 15% 더 어둡게</t>
    <phoneticPr fontId="2" type="noConversion"/>
  </si>
  <si>
    <t>1. 폰트 및 테두리양식</t>
    <phoneticPr fontId="2" type="noConversion"/>
  </si>
  <si>
    <t>Locale_Key</t>
    <phoneticPr fontId="2" type="noConversion"/>
  </si>
  <si>
    <t>Key</t>
    <phoneticPr fontId="2" type="noConversion"/>
  </si>
  <si>
    <t>이름</t>
    <phoneticPr fontId="2" type="noConversion"/>
  </si>
  <si>
    <t>Value_01</t>
    <phoneticPr fontId="2" type="noConversion"/>
  </si>
  <si>
    <t>Value_02</t>
  </si>
  <si>
    <t>Value_03</t>
  </si>
  <si>
    <t>Value_04</t>
  </si>
  <si>
    <t>Value_05</t>
  </si>
  <si>
    <t>Value_06</t>
  </si>
  <si>
    <t>Value_07</t>
  </si>
  <si>
    <t>Value_08</t>
  </si>
  <si>
    <t>Value_09</t>
  </si>
  <si>
    <t>Value_10</t>
  </si>
  <si>
    <t>설명</t>
    <phoneticPr fontId="2" type="noConversion"/>
  </si>
  <si>
    <t>정밀 타격 오일</t>
    <phoneticPr fontId="2" type="noConversion"/>
  </si>
  <si>
    <t>도구 태그 카드를 사용하여 타일을 파괴할 때, 파괴된 타일 하나당 +x점을 추가로 얻습니다.</t>
    <phoneticPr fontId="2" type="noConversion"/>
  </si>
  <si>
    <t>강화 손잡이</t>
  </si>
  <si>
    <t>도구 태그 카드로 타일을 파괴할 때, 해당 타일 파괴 점수 총합에 x배수를 적용합니다.(예시 1.25배수)</t>
  </si>
  <si>
    <t>숙련공의 숫돌</t>
  </si>
  <si>
    <t>도구 태그가 붙은 카드의 파괴 확률이 x% 증가합니다.</t>
  </si>
  <si>
    <t>부서진 도구의 기억</t>
  </si>
  <si>
    <t>유물을 가진 시점을 기준으로 도구 태그 카드가 파괴되었을 경우 1스택 증가. 스테이지 클리어 시 스택의 따른 골드를 제공한다.</t>
  </si>
  <si>
    <t>불변의 마감재</t>
  </si>
  <si>
    <t>강화되지 않은(+가 붙지않은) 도구 태그 카드의 파괴를 방지합니다.</t>
  </si>
  <si>
    <t>작은 금괴 조각</t>
  </si>
  <si>
    <t>스테이지 시작 시 보유한 골드 xG당 점수 +x점을 추가합니다. (최대 XG까지)</t>
  </si>
  <si>
    <t>확장 배낭</t>
  </si>
  <si>
    <t>스테이지 시작 시 드로우 +1</t>
  </si>
  <si>
    <t>공구 주머니</t>
  </si>
  <si>
    <t>유물 획득 시 덱에 있는 도구 태그 카드를 선택, 선택된 카드는 유물에 귀속되며 해당 카드는 매 스테이지 시작 시 추가로 제공</t>
  </si>
  <si>
    <t>정밀 타격 가이드</t>
  </si>
  <si>
    <t>1x1 단일 타일 파괴 카드로 타일을 파괴할 때, x배수의 점수를 획득한다.</t>
  </si>
  <si>
    <t>광역 공격 전문가</t>
  </si>
  <si>
    <t>카드 한장으로 8칸 이상 파괴 할 경우, x배수의 점수를 획득한다.</t>
    <phoneticPr fontId="2" type="noConversion"/>
  </si>
  <si>
    <t>긴급 수리 키트</t>
  </si>
  <si>
    <t>도구 카드가 파괴될 때, x% 확률로 파괴되지 않고 손패로 돌아갑니다.</t>
  </si>
  <si>
    <t>고대의 나침반</t>
  </si>
  <si>
    <t>매 스테이지 처음으로 사용되는 도구 카드는 인접한 타일 하나를 추가로 파괴합니다. (무작위 방향 상하좌우)</t>
  </si>
  <si>
    <t>랜턴</t>
  </si>
  <si>
    <t>암흑 타일을 파괴하거나 밝힐 때, x배수의 점수를 획득한다.</t>
  </si>
  <si>
    <t>유적 조사 노트</t>
  </si>
  <si>
    <t>모든 점수의 1배수의 추가 점수를 부여한다. 스테이지 클리어 시 0.1배수 씩 배수가 늘어난다.</t>
    <phoneticPr fontId="2" type="noConversion"/>
  </si>
  <si>
    <t>거래상의 친구</t>
  </si>
  <si>
    <t>상점 의뢰시 실패 확률 x% 감소</t>
  </si>
  <si>
    <t>균열 생성기</t>
  </si>
  <si>
    <t>타일 파괴 실패 시, 해당 타일이 x% 확률로 균열 타일로 변경된다.</t>
  </si>
  <si>
    <t>균열 파편 강화</t>
  </si>
  <si>
    <t>균열 타일 파괴 시, +x 점수 추가</t>
  </si>
  <si>
    <t>완벽한 도구함</t>
  </si>
  <si>
    <t>드로우 시 강화된 도구 카드 1개당 +X 골드</t>
  </si>
  <si>
    <t>잔상 추적자</t>
  </si>
  <si>
    <t>잔상 타일을 타격 지점으로 선택하여 타일 파괴시, +x배수의 점수를 제공</t>
  </si>
  <si>
    <t>잔상 각인</t>
  </si>
  <si>
    <t>스테이지 시작 시 x개의 일반 타일을 잔상 타일로 변경</t>
  </si>
  <si>
    <t>정밀 조준경</t>
  </si>
  <si>
    <t>타격 지점에서 멀리 떨어진 타일의 파괴 확률을 점진적으로 증가 시킨다. (예시: 중심점+1: 15%, 중심전+2: 10%)</t>
  </si>
  <si>
    <t>가로/세로 방향 안정 장치</t>
  </si>
  <si>
    <t>타격점을 기준으로 특정 방향으로 파괴 시, 해당 방향 타일의 파괴 확률이 X% 증가합니다.</t>
  </si>
  <si>
    <t>점수 (정수)</t>
    <phoneticPr fontId="2" type="noConversion"/>
  </si>
  <si>
    <t>배율 (실수)</t>
    <phoneticPr fontId="2" type="noConversion"/>
  </si>
  <si>
    <t>확률 (만분율)</t>
    <phoneticPr fontId="2" type="noConversion"/>
  </si>
  <si>
    <t>골드 (정수)</t>
    <phoneticPr fontId="2" type="noConversion"/>
  </si>
  <si>
    <t>점수 증가 (정수)</t>
    <phoneticPr fontId="2" type="noConversion"/>
  </si>
  <si>
    <t>타일 개수 (정수)</t>
    <phoneticPr fontId="2" type="noConversion"/>
  </si>
  <si>
    <t>중심점 +1 (확률)</t>
    <phoneticPr fontId="2" type="noConversion"/>
  </si>
  <si>
    <t>중심점 +2 (확률)</t>
  </si>
  <si>
    <t>중심점 +3 (확률)</t>
  </si>
  <si>
    <t>중심점 +4 (확률)</t>
  </si>
  <si>
    <t>중심점 +5 (확률)</t>
  </si>
  <si>
    <t>중심점 +6 (확률)</t>
  </si>
  <si>
    <t>중심점 +7 (확률)</t>
  </si>
  <si>
    <t>중심점 +8 (확률)</t>
  </si>
  <si>
    <t>중심점 +9 (확률)</t>
  </si>
  <si>
    <t>중심점 +10 (확률)</t>
  </si>
  <si>
    <t>늘어나는 배수 (실수)</t>
    <phoneticPr fontId="2" type="noConversion"/>
  </si>
  <si>
    <t>최대 골드량 (정수)</t>
    <phoneticPr fontId="2" type="noConversion"/>
  </si>
  <si>
    <t>드로우 수량 (정수)</t>
    <phoneticPr fontId="2" type="noConversion"/>
  </si>
  <si>
    <t>Card_Key</t>
    <phoneticPr fontId="2" type="noConversion"/>
  </si>
  <si>
    <t>Card_Name_Locale</t>
    <phoneticPr fontId="2" type="noConversion"/>
  </si>
  <si>
    <t>Card_Des_Locale</t>
    <phoneticPr fontId="2" type="noConversion"/>
  </si>
  <si>
    <t>Card_type</t>
    <phoneticPr fontId="2" type="noConversion"/>
  </si>
  <si>
    <t>카드 이름</t>
    <phoneticPr fontId="2" type="noConversion"/>
  </si>
  <si>
    <t>카드 설명</t>
    <phoneticPr fontId="2" type="noConversion"/>
  </si>
  <si>
    <t>Card_Upgraded_Key</t>
    <phoneticPr fontId="2" type="noConversion"/>
  </si>
  <si>
    <t>Card_Upgraded_Type</t>
    <phoneticPr fontId="2" type="noConversion"/>
  </si>
  <si>
    <t>Card_Rarity</t>
    <phoneticPr fontId="2" type="noConversion"/>
  </si>
  <si>
    <t>Char_type</t>
    <phoneticPr fontId="2" type="noConversion"/>
  </si>
  <si>
    <t>Char_bit</t>
    <phoneticPr fontId="2" type="noConversion"/>
  </si>
  <si>
    <t>Tag_bit</t>
    <phoneticPr fontId="2" type="noConversion"/>
  </si>
  <si>
    <t>Card_Image</t>
    <phoneticPr fontId="2" type="noConversion"/>
  </si>
  <si>
    <t>Card_Dex_Id</t>
    <phoneticPr fontId="2" type="noConversion"/>
  </si>
  <si>
    <t>Card_sort</t>
    <phoneticPr fontId="2" type="noConversion"/>
  </si>
  <si>
    <t>02.카드 테이블</t>
    <phoneticPr fontId="2" type="noConversion"/>
  </si>
  <si>
    <t>Name</t>
    <phoneticPr fontId="2" type="noConversion"/>
  </si>
  <si>
    <t>명칭</t>
    <phoneticPr fontId="2" type="noConversion"/>
  </si>
  <si>
    <t>타입</t>
    <phoneticPr fontId="2" type="noConversion"/>
  </si>
  <si>
    <t>아이디</t>
    <phoneticPr fontId="2" type="noConversion"/>
  </si>
  <si>
    <t>카드 이름 언어 아이디</t>
    <phoneticPr fontId="2" type="noConversion"/>
  </si>
  <si>
    <t>카드 아이디</t>
    <phoneticPr fontId="2" type="noConversion"/>
  </si>
  <si>
    <t>ID</t>
    <phoneticPr fontId="2" type="noConversion"/>
  </si>
  <si>
    <t>관리용 아이디</t>
    <phoneticPr fontId="2" type="noConversion"/>
  </si>
  <si>
    <t>카드 설명 언어 아이디</t>
    <phoneticPr fontId="2" type="noConversion"/>
  </si>
  <si>
    <t>개발자 확인용 이름</t>
    <phoneticPr fontId="2" type="noConversion"/>
  </si>
  <si>
    <t>개발자 확인용 설명</t>
    <phoneticPr fontId="2" type="noConversion"/>
  </si>
  <si>
    <t>텍스트</t>
    <phoneticPr fontId="2" type="noConversion"/>
  </si>
  <si>
    <t>카드 타입</t>
    <phoneticPr fontId="2" type="noConversion"/>
  </si>
  <si>
    <t>타격용 카드</t>
    <phoneticPr fontId="2" type="noConversion"/>
  </si>
  <si>
    <t>소모품 카드</t>
    <phoneticPr fontId="2" type="noConversion"/>
  </si>
  <si>
    <t>인덱스</t>
    <phoneticPr fontId="2" type="noConversion"/>
  </si>
  <si>
    <t>캐릭터 타입</t>
    <phoneticPr fontId="2" type="noConversion"/>
  </si>
  <si>
    <t>Char_type</t>
  </si>
  <si>
    <t>공용</t>
    <phoneticPr fontId="2" type="noConversion"/>
  </si>
  <si>
    <t>모험가</t>
    <phoneticPr fontId="2" type="noConversion"/>
  </si>
  <si>
    <t>마법사</t>
    <phoneticPr fontId="2" type="noConversion"/>
  </si>
  <si>
    <t>카드 업그레이드 타입</t>
    <phoneticPr fontId="2" type="noConversion"/>
  </si>
  <si>
    <t>업그레이드 관련 카드 정보</t>
    <phoneticPr fontId="2" type="noConversion"/>
  </si>
  <si>
    <t>카드 업그레이드 확인 타입</t>
    <phoneticPr fontId="2" type="noConversion"/>
  </si>
  <si>
    <t>강화 불가 카드</t>
    <phoneticPr fontId="2" type="noConversion"/>
  </si>
  <si>
    <t>강화 상태 카드</t>
    <phoneticPr fontId="2" type="noConversion"/>
  </si>
  <si>
    <t>강화 가능 카드</t>
    <phoneticPr fontId="2" type="noConversion"/>
  </si>
  <si>
    <t>강화 상태 카드(Card_Key)</t>
    <phoneticPr fontId="2" type="noConversion"/>
  </si>
  <si>
    <t>강화 이전 상태 카드(Card_Key)</t>
    <phoneticPr fontId="2" type="noConversion"/>
  </si>
  <si>
    <t>카드 희귀도</t>
    <phoneticPr fontId="2" type="noConversion"/>
  </si>
  <si>
    <t>노말</t>
    <phoneticPr fontId="2" type="noConversion"/>
  </si>
  <si>
    <t>레어</t>
    <phoneticPr fontId="2" type="noConversion"/>
  </si>
  <si>
    <t>유니크</t>
    <phoneticPr fontId="2" type="noConversion"/>
  </si>
  <si>
    <t>bit</t>
    <phoneticPr fontId="2" type="noConversion"/>
  </si>
  <si>
    <t>카드 사용 가능 캐릭터 비트 타입</t>
    <phoneticPr fontId="2" type="noConversion"/>
  </si>
  <si>
    <t>도감 소팅 정보</t>
    <phoneticPr fontId="2" type="noConversion"/>
  </si>
  <si>
    <t>카드 해금 아이디(00.CardDexData 참조)</t>
    <phoneticPr fontId="2" type="noConversion"/>
  </si>
  <si>
    <t>정수</t>
    <phoneticPr fontId="2" type="noConversion"/>
  </si>
  <si>
    <t xml:space="preserve">타격 이미지 </t>
    <phoneticPr fontId="2" type="noConversion"/>
  </si>
  <si>
    <t>Card_Grid_Image</t>
  </si>
  <si>
    <t>Card_Grid_Image</t>
    <phoneticPr fontId="2" type="noConversion"/>
  </si>
  <si>
    <t>카드 일러스트 이미지</t>
    <phoneticPr fontId="2" type="noConversion"/>
  </si>
  <si>
    <t>Card_Add_Id_1</t>
    <phoneticPr fontId="2" type="noConversion"/>
  </si>
  <si>
    <t>Card_Add_Id_2</t>
  </si>
  <si>
    <t>Card_Add_Id_3</t>
  </si>
  <si>
    <t>Value_1</t>
    <phoneticPr fontId="2" type="noConversion"/>
  </si>
  <si>
    <t>Value_2</t>
  </si>
  <si>
    <t>Value_3</t>
  </si>
  <si>
    <t>Value_4</t>
  </si>
  <si>
    <t>Value_5</t>
  </si>
  <si>
    <t>Value_6</t>
  </si>
  <si>
    <t>Value_7</t>
  </si>
  <si>
    <t>Value_8</t>
  </si>
  <si>
    <t>Value_9</t>
  </si>
  <si>
    <t>Card_Shovel</t>
    <phoneticPr fontId="2" type="noConversion"/>
  </si>
  <si>
    <t>Card_Rake</t>
    <phoneticPr fontId="2" type="noConversion"/>
  </si>
  <si>
    <t>도끼</t>
  </si>
  <si>
    <t>삽</t>
  </si>
  <si>
    <t>갈퀴</t>
  </si>
  <si>
    <t>삽+</t>
  </si>
  <si>
    <t>갈퀴+</t>
  </si>
  <si>
    <t>황금 삽</t>
  </si>
  <si>
    <t>황금 삽+</t>
  </si>
  <si>
    <t>도끼+</t>
  </si>
  <si>
    <t>십자 끌</t>
  </si>
  <si>
    <t>십자 끌+</t>
  </si>
  <si>
    <t>곡괭이</t>
  </si>
  <si>
    <t>곡괭이+</t>
  </si>
  <si>
    <t>새총</t>
  </si>
  <si>
    <t>새총+</t>
  </si>
  <si>
    <t>모서리 파쇄 해머</t>
  </si>
  <si>
    <t>모서리 파쇄 해머+</t>
  </si>
  <si>
    <t>집중형 십자 드릴</t>
  </si>
  <si>
    <t>집중형 십자 드릴+</t>
  </si>
  <si>
    <t>황금 도끼</t>
  </si>
  <si>
    <t>황금 도끼+</t>
  </si>
  <si>
    <t>대형 가위</t>
  </si>
  <si>
    <t>대형 가위+</t>
  </si>
  <si>
    <t>약화 카드 - 일반</t>
  </si>
  <si>
    <t>약화 카드 - 레어</t>
  </si>
  <si>
    <t>약화 카드 - 유니크</t>
  </si>
  <si>
    <t>가방</t>
  </si>
  <si>
    <t>도구 변형</t>
  </si>
  <si>
    <t>도구 강화</t>
  </si>
  <si>
    <t>Card_Shovel_Enhanced</t>
  </si>
  <si>
    <t>Card_Rake_Enhanced</t>
  </si>
  <si>
    <t>Card_GoldenShovel</t>
  </si>
  <si>
    <t>Card_GoldenShovel_Enhanced</t>
  </si>
  <si>
    <t>Card_Axe</t>
  </si>
  <si>
    <t>Card_Axe_Enhanced</t>
  </si>
  <si>
    <t>Card_Cross Chisel</t>
  </si>
  <si>
    <t>Card_Cross Chisel_Enhanced</t>
  </si>
  <si>
    <t>Card_Pickaxe</t>
  </si>
  <si>
    <t>Card_Pickaxe_Enhanced</t>
  </si>
  <si>
    <t>Card_Slingshot</t>
  </si>
  <si>
    <t>Card_Slingshot_Enhanced</t>
  </si>
  <si>
    <t>Card_CornerCrushingHammer</t>
  </si>
  <si>
    <t>Card_CornerCrushingHammer_Enhanced</t>
  </si>
  <si>
    <t>Card_ConcentratedCrossDrill</t>
  </si>
  <si>
    <t>Card_ConcentratedCrossDrill_Enhanced</t>
  </si>
  <si>
    <t>Card_GoldenAxe</t>
  </si>
  <si>
    <t>Card_GoldenAxe_Enhanced</t>
  </si>
  <si>
    <t>Card_Large Scissors</t>
  </si>
  <si>
    <t>Card_WeakeningNormal</t>
  </si>
  <si>
    <t>Card_WeakeningRare</t>
  </si>
  <si>
    <t>Card_WeakeningUnique</t>
  </si>
  <si>
    <t>Card_Bag</t>
  </si>
  <si>
    <t>Card_ToolTransformation</t>
  </si>
  <si>
    <t>Card_ToolEnhancement</t>
  </si>
  <si>
    <t>Card_Shovel_Name</t>
  </si>
  <si>
    <t>Card_Rake_Name</t>
  </si>
  <si>
    <t>Card_Shovel_Enhanced_Name</t>
  </si>
  <si>
    <t>Card_Rake_Enhanced_Name</t>
  </si>
  <si>
    <t>Card_GoldenShovel_Name</t>
  </si>
  <si>
    <t>Card_GoldenShovel_Enhanced_Name</t>
  </si>
  <si>
    <t>Card_Axe_Name</t>
  </si>
  <si>
    <t>Card_Axe_Enhanced_Name</t>
  </si>
  <si>
    <t>Card_Cross Chisel_Name</t>
  </si>
  <si>
    <t>Card_Cross Chisel_Enhanced_Name</t>
  </si>
  <si>
    <t>Card_Pickaxe_Name</t>
  </si>
  <si>
    <t>Card_Pickaxe_Enhanced_Name</t>
  </si>
  <si>
    <t>Card_Slingshot_Name</t>
  </si>
  <si>
    <t>Card_Slingshot_Enhanced_Name</t>
  </si>
  <si>
    <t>Card_CornerCrushingHammer_Name</t>
  </si>
  <si>
    <t>Card_CornerCrushingHammer_Enhanced_Name</t>
  </si>
  <si>
    <t>Card_ConcentratedCrossDrill_Name</t>
  </si>
  <si>
    <t>Card_ConcentratedCrossDrill_Enhanced_Name</t>
  </si>
  <si>
    <t>Card_GoldenAxe_Name</t>
  </si>
  <si>
    <t>Card_GoldenAxe_Enhanced_Name</t>
  </si>
  <si>
    <t>Card_Large Scissors_Name</t>
  </si>
  <si>
    <t>Card_Large Scissors_Enhanced_Name</t>
  </si>
  <si>
    <t>Card_WeakeningNormal_Name</t>
  </si>
  <si>
    <t>Card_WeakeningRare_Name</t>
  </si>
  <si>
    <t>Card_WeakeningUnique_Name</t>
  </si>
  <si>
    <t>Card_Bag_Name</t>
  </si>
  <si>
    <t>Card_ToolTransformation_Name</t>
  </si>
  <si>
    <t>Card_Shovel_Des</t>
  </si>
  <si>
    <t>Card_Rake_Des</t>
  </si>
  <si>
    <t>Card_Shovel_Enhanced_Des</t>
  </si>
  <si>
    <t>Card_Rake_Enhanced_Des</t>
  </si>
  <si>
    <t>Card_GoldenShovel_Des</t>
  </si>
  <si>
    <t>Card_GoldenShovel_Enhanced_Des</t>
  </si>
  <si>
    <t>Card_Axe_Des</t>
  </si>
  <si>
    <t>Card_Axe_Enhanced_Des</t>
  </si>
  <si>
    <t>Card_Cross Chisel_Des</t>
  </si>
  <si>
    <t>Card_Cross Chisel_Enhanced_Des</t>
  </si>
  <si>
    <t>Card_Pickaxe_Des</t>
  </si>
  <si>
    <t>Card_Pickaxe_Enhanced_Des</t>
  </si>
  <si>
    <t>Card_Slingshot_Des</t>
  </si>
  <si>
    <t>Card_Slingshot_Enhanced_Des</t>
  </si>
  <si>
    <t>Card_CornerCrushingHammer_Des</t>
  </si>
  <si>
    <t>Card_CornerCrushingHammer_Enhanced_Des</t>
  </si>
  <si>
    <t>Card_ConcentratedCrossDrill_Des</t>
  </si>
  <si>
    <t>Card_ConcentratedCrossDrill_Enhanced_Des</t>
  </si>
  <si>
    <t>Card_GoldenAxe_Des</t>
  </si>
  <si>
    <t>Card_GoldenAxe_Enhanced_Des</t>
  </si>
  <si>
    <t>Card_Large Scissors_Des</t>
  </si>
  <si>
    <t>Card_Large Scissors_Enhanced_Des</t>
  </si>
  <si>
    <t>Card_WeakeningNormal_Des</t>
  </si>
  <si>
    <t>Card_WeakeningRare_Des</t>
  </si>
  <si>
    <t>Card_WeakeningUnique_Des</t>
  </si>
  <si>
    <t>Card_Bag_Des</t>
  </si>
  <si>
    <t>Card_ToolTransformation_Des</t>
  </si>
  <si>
    <t>Card_ToolEnhancement_Des</t>
  </si>
  <si>
    <t>모험가의 횃불</t>
    <phoneticPr fontId="2" type="noConversion"/>
  </si>
  <si>
    <t>기억의 망치</t>
    <phoneticPr fontId="2" type="noConversion"/>
  </si>
  <si>
    <t>균열 지층 분석</t>
    <phoneticPr fontId="2" type="noConversion"/>
  </si>
  <si>
    <t>모험가의 횃불+</t>
    <phoneticPr fontId="2" type="noConversion"/>
  </si>
  <si>
    <t>기억의 망치+</t>
    <phoneticPr fontId="2" type="noConversion"/>
  </si>
  <si>
    <t>균열 지층 분석+</t>
    <phoneticPr fontId="2" type="noConversion"/>
  </si>
  <si>
    <t>Card_Adventurer'sTorch</t>
    <phoneticPr fontId="2" type="noConversion"/>
  </si>
  <si>
    <t>Card_Large Scissors_Enhanced</t>
    <phoneticPr fontId="2" type="noConversion"/>
  </si>
  <si>
    <t>Card_Adventurer'sTorch_Enhanced</t>
    <phoneticPr fontId="2" type="noConversion"/>
  </si>
  <si>
    <t>Card_HammerOfMemory</t>
    <phoneticPr fontId="2" type="noConversion"/>
  </si>
  <si>
    <t>Card_HammerOfMemory_Enhanced</t>
    <phoneticPr fontId="2" type="noConversion"/>
  </si>
  <si>
    <t>Card_RiftStartumAnalysis</t>
    <phoneticPr fontId="2" type="noConversion"/>
  </si>
  <si>
    <t>Card_RiftStartumAnalysis_Enhanced</t>
    <phoneticPr fontId="2" type="noConversion"/>
  </si>
  <si>
    <t>Card_ToolEnhancement_Name</t>
    <phoneticPr fontId="2" type="noConversion"/>
  </si>
  <si>
    <t>Card_HammerOfMemory_Name</t>
    <phoneticPr fontId="2" type="noConversion"/>
  </si>
  <si>
    <t>Card_HammerOfMemory_Enhanced_Name</t>
    <phoneticPr fontId="2" type="noConversion"/>
  </si>
  <si>
    <t>Card_RiftStartumAnalysis_Name</t>
    <phoneticPr fontId="2" type="noConversion"/>
  </si>
  <si>
    <t>Card_RiftStartumAnalysis_Enhanced_Name</t>
    <phoneticPr fontId="2" type="noConversion"/>
  </si>
  <si>
    <t>Card_HammerOfMemory_Des</t>
    <phoneticPr fontId="2" type="noConversion"/>
  </si>
  <si>
    <t>Card_HammerOfMemory_Enhanced_Des</t>
    <phoneticPr fontId="2" type="noConversion"/>
  </si>
  <si>
    <t>Card_RiftStartumAnalysis_Des</t>
    <phoneticPr fontId="2" type="noConversion"/>
  </si>
  <si>
    <t>Card_RiftStartumAnalysis_Enhanced_Des</t>
    <phoneticPr fontId="2" type="noConversion"/>
  </si>
  <si>
    <t>태그 전체</t>
    <phoneticPr fontId="2" type="noConversion"/>
  </si>
  <si>
    <t>태그 합</t>
    <phoneticPr fontId="2" type="noConversion"/>
  </si>
  <si>
    <t>도구</t>
  </si>
  <si>
    <t>도구</t>
    <phoneticPr fontId="2" type="noConversion"/>
  </si>
  <si>
    <t>황금</t>
  </si>
  <si>
    <t>황금</t>
    <phoneticPr fontId="2" type="noConversion"/>
  </si>
  <si>
    <t>일회성</t>
  </si>
  <si>
    <t>일회성</t>
    <phoneticPr fontId="2" type="noConversion"/>
  </si>
  <si>
    <t>Locale_Des</t>
    <phoneticPr fontId="2" type="noConversion"/>
  </si>
  <si>
    <t>견습 지팡이</t>
    <phoneticPr fontId="2" type="noConversion"/>
  </si>
  <si>
    <t>Card_Novice_Wand</t>
    <phoneticPr fontId="2" type="noConversion"/>
  </si>
  <si>
    <t>Card_Novice_Wand_Name</t>
    <phoneticPr fontId="2" type="noConversion"/>
  </si>
  <si>
    <t>Card_Novice_Wand_Des</t>
    <phoneticPr fontId="2" type="noConversion"/>
  </si>
  <si>
    <t>Card_Novice_Wand_Enhanced</t>
    <phoneticPr fontId="2" type="noConversion"/>
  </si>
  <si>
    <t>Card_Novice_Wand_Enhanced_Name</t>
    <phoneticPr fontId="2" type="noConversion"/>
  </si>
  <si>
    <t>Card_Novice_Wand_Enhanced_Des</t>
    <phoneticPr fontId="2" type="noConversion"/>
  </si>
  <si>
    <t>견습 지팡이+</t>
    <phoneticPr fontId="2" type="noConversion"/>
  </si>
  <si>
    <t>마력 화살</t>
    <phoneticPr fontId="2" type="noConversion"/>
  </si>
  <si>
    <t>마력 화살+</t>
    <phoneticPr fontId="2" type="noConversion"/>
  </si>
  <si>
    <t>번뜩임</t>
    <phoneticPr fontId="2" type="noConversion"/>
  </si>
  <si>
    <t>번뜩임+</t>
    <phoneticPr fontId="2" type="noConversion"/>
  </si>
  <si>
    <t>마력 찌르기</t>
    <phoneticPr fontId="2" type="noConversion"/>
  </si>
  <si>
    <t>마력 찌르기+</t>
    <phoneticPr fontId="2" type="noConversion"/>
  </si>
  <si>
    <t>마력의 창</t>
    <phoneticPr fontId="2" type="noConversion"/>
  </si>
  <si>
    <t>마력의 창+</t>
    <phoneticPr fontId="2" type="noConversion"/>
  </si>
  <si>
    <t>마력 베기</t>
    <phoneticPr fontId="2" type="noConversion"/>
  </si>
  <si>
    <t>마력의 검</t>
    <phoneticPr fontId="2" type="noConversion"/>
  </si>
  <si>
    <t>마력 베기+</t>
    <phoneticPr fontId="2" type="noConversion"/>
  </si>
  <si>
    <t>마력의 검+</t>
    <phoneticPr fontId="2" type="noConversion"/>
  </si>
  <si>
    <t>마력의 발톱</t>
    <phoneticPr fontId="2" type="noConversion"/>
  </si>
  <si>
    <t>마력의 발톱+</t>
    <phoneticPr fontId="2" type="noConversion"/>
  </si>
  <si>
    <t>마력 포탄</t>
    <phoneticPr fontId="2" type="noConversion"/>
  </si>
  <si>
    <t>마력 포탄+</t>
    <phoneticPr fontId="2" type="noConversion"/>
  </si>
  <si>
    <t>개구리</t>
    <phoneticPr fontId="2" type="noConversion"/>
  </si>
  <si>
    <t>개구리+</t>
    <phoneticPr fontId="2" type="noConversion"/>
  </si>
  <si>
    <t>마력 부여</t>
    <phoneticPr fontId="2" type="noConversion"/>
  </si>
  <si>
    <t>마력 부여+</t>
    <phoneticPr fontId="2" type="noConversion"/>
  </si>
  <si>
    <t>발화</t>
    <phoneticPr fontId="2" type="noConversion"/>
  </si>
  <si>
    <t>발화+</t>
    <phoneticPr fontId="2" type="noConversion"/>
  </si>
  <si>
    <t>화염 폭발</t>
    <phoneticPr fontId="2" type="noConversion"/>
  </si>
  <si>
    <t>화염 폭발+</t>
    <phoneticPr fontId="2" type="noConversion"/>
  </si>
  <si>
    <t>잔불</t>
    <phoneticPr fontId="2" type="noConversion"/>
  </si>
  <si>
    <t>잔불+</t>
    <phoneticPr fontId="2" type="noConversion"/>
  </si>
  <si>
    <t>화염 벽</t>
    <phoneticPr fontId="2" type="noConversion"/>
  </si>
  <si>
    <t>화염 벽+</t>
    <phoneticPr fontId="2" type="noConversion"/>
  </si>
  <si>
    <t>연쇄 발화</t>
    <phoneticPr fontId="2" type="noConversion"/>
  </si>
  <si>
    <t>연쇄 발화+</t>
    <phoneticPr fontId="2" type="noConversion"/>
  </si>
  <si>
    <t>볼케이노</t>
    <phoneticPr fontId="2" type="noConversion"/>
  </si>
  <si>
    <t>볼케이노+</t>
    <phoneticPr fontId="2" type="noConversion"/>
  </si>
  <si>
    <t>냉각</t>
    <phoneticPr fontId="2" type="noConversion"/>
  </si>
  <si>
    <t>냉각+</t>
    <phoneticPr fontId="2" type="noConversion"/>
  </si>
  <si>
    <t>냉기 폭발</t>
    <phoneticPr fontId="2" type="noConversion"/>
  </si>
  <si>
    <t>냉기 폭발+</t>
    <phoneticPr fontId="2" type="noConversion"/>
  </si>
  <si>
    <t>퍼져나가는 냉기</t>
    <phoneticPr fontId="2" type="noConversion"/>
  </si>
  <si>
    <t>퍼져나가는 냉기+</t>
    <phoneticPr fontId="2" type="noConversion"/>
  </si>
  <si>
    <t>얼음 검</t>
    <phoneticPr fontId="2" type="noConversion"/>
  </si>
  <si>
    <t>얼음 검+</t>
    <phoneticPr fontId="2" type="noConversion"/>
  </si>
  <si>
    <t>얼음 창</t>
    <phoneticPr fontId="2" type="noConversion"/>
  </si>
  <si>
    <t>얼음 창+</t>
    <phoneticPr fontId="2" type="noConversion"/>
  </si>
  <si>
    <t>얼음 화살</t>
    <phoneticPr fontId="2" type="noConversion"/>
  </si>
  <si>
    <t>얼음 화살+</t>
    <phoneticPr fontId="2" type="noConversion"/>
  </si>
  <si>
    <t>전류</t>
    <phoneticPr fontId="2" type="noConversion"/>
  </si>
  <si>
    <t>전류+</t>
    <phoneticPr fontId="2" type="noConversion"/>
  </si>
  <si>
    <t>전기 폭풍</t>
    <phoneticPr fontId="2" type="noConversion"/>
  </si>
  <si>
    <t>전기 폭풍+</t>
    <phoneticPr fontId="2" type="noConversion"/>
  </si>
  <si>
    <t>과전류</t>
    <phoneticPr fontId="2" type="noConversion"/>
  </si>
  <si>
    <t>과전류+</t>
    <phoneticPr fontId="2" type="noConversion"/>
  </si>
  <si>
    <t>뇌창</t>
    <phoneticPr fontId="2" type="noConversion"/>
  </si>
  <si>
    <t>뇌창+</t>
    <phoneticPr fontId="2" type="noConversion"/>
  </si>
  <si>
    <t>스파크</t>
    <phoneticPr fontId="2" type="noConversion"/>
  </si>
  <si>
    <t>스파크+</t>
    <phoneticPr fontId="2" type="noConversion"/>
  </si>
  <si>
    <t>벼락</t>
    <phoneticPr fontId="2" type="noConversion"/>
  </si>
  <si>
    <t>벼락+</t>
    <phoneticPr fontId="2" type="noConversion"/>
  </si>
  <si>
    <t>화염</t>
    <phoneticPr fontId="2" type="noConversion"/>
  </si>
  <si>
    <t>얼음</t>
    <phoneticPr fontId="2" type="noConversion"/>
  </si>
  <si>
    <t>전기</t>
    <phoneticPr fontId="2" type="noConversion"/>
  </si>
  <si>
    <t>마법</t>
    <phoneticPr fontId="2" type="noConversion"/>
  </si>
  <si>
    <t>마나</t>
    <phoneticPr fontId="2" type="noConversion"/>
  </si>
  <si>
    <t>Card_Mana_Arrow</t>
    <phoneticPr fontId="2" type="noConversion"/>
  </si>
  <si>
    <t>Card_Mana_Arrow_Name</t>
    <phoneticPr fontId="2" type="noConversion"/>
  </si>
  <si>
    <t>Card_Mana_Arrow_Des</t>
    <phoneticPr fontId="2" type="noConversion"/>
  </si>
  <si>
    <t>Card_Mana_Arrow_Enhanced</t>
    <phoneticPr fontId="2" type="noConversion"/>
  </si>
  <si>
    <t>Card_Mana_Arrow_Enhanced_Name</t>
    <phoneticPr fontId="2" type="noConversion"/>
  </si>
  <si>
    <t>Card_Mana_Arrow_Enhanced_Des</t>
    <phoneticPr fontId="2" type="noConversion"/>
  </si>
  <si>
    <t>Card_Sparkle</t>
    <phoneticPr fontId="2" type="noConversion"/>
  </si>
  <si>
    <t>Card_Sparkle_Enhanced</t>
    <phoneticPr fontId="2" type="noConversion"/>
  </si>
  <si>
    <t>Card_Sparkle_Name</t>
    <phoneticPr fontId="2" type="noConversion"/>
  </si>
  <si>
    <t>Card_Sparkle_Enhanced_Name</t>
    <phoneticPr fontId="2" type="noConversion"/>
  </si>
  <si>
    <t>Card_Sparkle_Des</t>
    <phoneticPr fontId="2" type="noConversion"/>
  </si>
  <si>
    <t>Card_Sparkle_Enhanced_Des</t>
    <phoneticPr fontId="2" type="noConversion"/>
  </si>
  <si>
    <t>Card_Mana_Pierce</t>
    <phoneticPr fontId="2" type="noConversion"/>
  </si>
  <si>
    <t>Card_Mana_Pierce_Enhanced</t>
    <phoneticPr fontId="2" type="noConversion"/>
  </si>
  <si>
    <t>Card_Mana_Pierce_Name</t>
    <phoneticPr fontId="2" type="noConversion"/>
  </si>
  <si>
    <t>Card_Mana_Pierce_Enhanced_Name</t>
    <phoneticPr fontId="2" type="noConversion"/>
  </si>
  <si>
    <t>Card_Mana_Pierce_Des</t>
    <phoneticPr fontId="2" type="noConversion"/>
  </si>
  <si>
    <t>Card_Mana_Pierce_Enhanced_Des</t>
    <phoneticPr fontId="2" type="noConversion"/>
  </si>
  <si>
    <t>Card_Magic_Arrow</t>
  </si>
  <si>
    <t>Card_Magic_Arrow_Enhanced</t>
  </si>
  <si>
    <t>Card_Magic_Pierce</t>
  </si>
  <si>
    <t>Card_Magic_Pierce_Enhanced</t>
  </si>
  <si>
    <t>Card_Magic_Spear</t>
  </si>
  <si>
    <t>Card_Magic_Slash</t>
  </si>
  <si>
    <t>Card_Magic_Slash_Enhanced</t>
  </si>
  <si>
    <t>Card_Magic_Sword</t>
  </si>
  <si>
    <t>Card_Magic_Claw</t>
  </si>
  <si>
    <t>Card_Magic_Claw</t>
    <phoneticPr fontId="2" type="noConversion"/>
  </si>
  <si>
    <t>Card_Magic_Cannon</t>
    <phoneticPr fontId="2" type="noConversion"/>
  </si>
  <si>
    <t>Card_Frog</t>
    <phoneticPr fontId="2" type="noConversion"/>
  </si>
  <si>
    <t>Card_Inchant_Magic</t>
    <phoneticPr fontId="2" type="noConversion"/>
  </si>
  <si>
    <t>Card_Ignite</t>
  </si>
  <si>
    <t>Card_Ignite</t>
    <phoneticPr fontId="2" type="noConversion"/>
  </si>
  <si>
    <t>Card_Flame_Explosion</t>
  </si>
  <si>
    <t>Card_Flame_Explosion</t>
    <phoneticPr fontId="2" type="noConversion"/>
  </si>
  <si>
    <t>Card_Ember</t>
  </si>
  <si>
    <t>Card_Ember</t>
    <phoneticPr fontId="2" type="noConversion"/>
  </si>
  <si>
    <t>Card_Flame_Wall</t>
  </si>
  <si>
    <t>Card_Flame_Wall</t>
    <phoneticPr fontId="2" type="noConversion"/>
  </si>
  <si>
    <t>Card_Chain_Ignition</t>
  </si>
  <si>
    <t>Card_Chain_Ignition</t>
    <phoneticPr fontId="2" type="noConversion"/>
  </si>
  <si>
    <t>Card_Volcano</t>
  </si>
  <si>
    <t>Card_Volcano</t>
    <phoneticPr fontId="2" type="noConversion"/>
  </si>
  <si>
    <t>Card_Freeze</t>
  </si>
  <si>
    <t>Card_Freeze</t>
    <phoneticPr fontId="2" type="noConversion"/>
  </si>
  <si>
    <t>Card_Frost_Blast</t>
  </si>
  <si>
    <t>Card_Frost_Blast</t>
    <phoneticPr fontId="2" type="noConversion"/>
  </si>
  <si>
    <t>Card_Spreading_Frost</t>
  </si>
  <si>
    <t>Card_Spreading_Frost</t>
    <phoneticPr fontId="2" type="noConversion"/>
  </si>
  <si>
    <t>Card_Ice_Sword</t>
  </si>
  <si>
    <t>Card_Ice_Sword</t>
    <phoneticPr fontId="2" type="noConversion"/>
  </si>
  <si>
    <t>Card_Ice_Spear</t>
  </si>
  <si>
    <t>Card_Ice_Spear</t>
    <phoneticPr fontId="2" type="noConversion"/>
  </si>
  <si>
    <t>Card_Ice_Arrow</t>
  </si>
  <si>
    <t>Card_Ice_Arrow</t>
    <phoneticPr fontId="2" type="noConversion"/>
  </si>
  <si>
    <t>Card_Lightning_Storm</t>
  </si>
  <si>
    <t>Card_Lightning_Storm</t>
    <phoneticPr fontId="2" type="noConversion"/>
  </si>
  <si>
    <t>Card_Current</t>
  </si>
  <si>
    <t>Card_Current</t>
    <phoneticPr fontId="2" type="noConversion"/>
  </si>
  <si>
    <t>Card_Overcurrent</t>
  </si>
  <si>
    <t>Card_Overcurrent</t>
    <phoneticPr fontId="2" type="noConversion"/>
  </si>
  <si>
    <t>Card_Lightning_Spear</t>
  </si>
  <si>
    <t>Card_Lightning_Spear</t>
    <phoneticPr fontId="2" type="noConversion"/>
  </si>
  <si>
    <t>Card_Spark</t>
  </si>
  <si>
    <t>Card_Spark</t>
    <phoneticPr fontId="2" type="noConversion"/>
  </si>
  <si>
    <t>Card_Thunderbolt</t>
  </si>
  <si>
    <t>Card_Thunderbolt</t>
    <phoneticPr fontId="2" type="noConversion"/>
  </si>
  <si>
    <t>Card_Magic_Spear_Enhanced</t>
    <phoneticPr fontId="2" type="noConversion"/>
  </si>
  <si>
    <t>Card_Magic_Sword_Enhanced</t>
    <phoneticPr fontId="2" type="noConversion"/>
  </si>
  <si>
    <t>Card_Magic_Claw_Enhanced</t>
    <phoneticPr fontId="2" type="noConversion"/>
  </si>
  <si>
    <t>Card_Magic_Cannon_Enhanced</t>
    <phoneticPr fontId="2" type="noConversion"/>
  </si>
  <si>
    <t>Card_Frog_Enhanced</t>
    <phoneticPr fontId="2" type="noConversion"/>
  </si>
  <si>
    <t>Card_Thunderbolt_Enhanced</t>
  </si>
  <si>
    <t>Card_Thunderbolt_Enhanced</t>
    <phoneticPr fontId="2" type="noConversion"/>
  </si>
  <si>
    <t>Card_Spark_Enhanced</t>
  </si>
  <si>
    <t>Card_Spark_Enhanced</t>
    <phoneticPr fontId="2" type="noConversion"/>
  </si>
  <si>
    <t>Card_Lightning_Spear_Enhanced</t>
  </si>
  <si>
    <t>Card_Lightning_Spear_Enhanced</t>
    <phoneticPr fontId="2" type="noConversion"/>
  </si>
  <si>
    <t>Card_Overcurrent_Enhanced</t>
  </si>
  <si>
    <t>Card_Overcurrent_Enhanced</t>
    <phoneticPr fontId="2" type="noConversion"/>
  </si>
  <si>
    <t>Card_Lightning_Storm_Enhanced</t>
  </si>
  <si>
    <t>Card_Lightning_Storm_Enhanced</t>
    <phoneticPr fontId="2" type="noConversion"/>
  </si>
  <si>
    <t>Card_Current_Enhanced</t>
  </si>
  <si>
    <t>Card_Current_Enhanced</t>
    <phoneticPr fontId="2" type="noConversion"/>
  </si>
  <si>
    <t>Card_Ice_Arrow_Enhanced</t>
  </si>
  <si>
    <t>Card_Ice_Arrow_Enhanced</t>
    <phoneticPr fontId="2" type="noConversion"/>
  </si>
  <si>
    <t>Card_Ice_Spear_Enhanced</t>
  </si>
  <si>
    <t>Card_Ice_Spear_Enhanced</t>
    <phoneticPr fontId="2" type="noConversion"/>
  </si>
  <si>
    <t>Card_Ice_Sword_Enhanced</t>
  </si>
  <si>
    <t>Card_Ice_Sword_Enhanced</t>
    <phoneticPr fontId="2" type="noConversion"/>
  </si>
  <si>
    <t>Card_Spreading_Frost_Enhanced</t>
  </si>
  <si>
    <t>Card_Spreading_Frost_Enhanced</t>
    <phoneticPr fontId="2" type="noConversion"/>
  </si>
  <si>
    <t>Card_Frost_Blast_Enhanced</t>
  </si>
  <si>
    <t>Card_Frost_Blast_Enhanced</t>
    <phoneticPr fontId="2" type="noConversion"/>
  </si>
  <si>
    <t>Card_Freeze_Enhanced</t>
  </si>
  <si>
    <t>Card_Freeze_Enhanced</t>
    <phoneticPr fontId="2" type="noConversion"/>
  </si>
  <si>
    <t>Card_Volcano_Enhanced</t>
  </si>
  <si>
    <t>Card_Volcano_Enhanced</t>
    <phoneticPr fontId="2" type="noConversion"/>
  </si>
  <si>
    <t>Card_Chain_Ignition_Enhanced</t>
  </si>
  <si>
    <t>Card_Chain_Ignition_Enhanced</t>
    <phoneticPr fontId="2" type="noConversion"/>
  </si>
  <si>
    <t>Card_Flame_Wall_Enhanced</t>
  </si>
  <si>
    <t>Card_Flame_Wall_Enhanced</t>
    <phoneticPr fontId="2" type="noConversion"/>
  </si>
  <si>
    <t>Card_Ember_Enhanced</t>
  </si>
  <si>
    <t>Card_Ember_Enhanced</t>
    <phoneticPr fontId="2" type="noConversion"/>
  </si>
  <si>
    <t>Card_Flame_Explosion_Enhanced</t>
  </si>
  <si>
    <t>Card_Flame_Explosion_Enhanced</t>
    <phoneticPr fontId="2" type="noConversion"/>
  </si>
  <si>
    <t>Card_Ignite_Enhanced</t>
  </si>
  <si>
    <t>Card_Ignite_Enhanced</t>
    <phoneticPr fontId="2" type="noConversion"/>
  </si>
  <si>
    <t>Card_Inchant_Magic_Enhanced</t>
    <phoneticPr fontId="2" type="noConversion"/>
  </si>
  <si>
    <t>Card_Magic_Spear_Name</t>
    <phoneticPr fontId="2" type="noConversion"/>
  </si>
  <si>
    <t>Card_Magic_Spear_Enhanced_Name</t>
    <phoneticPr fontId="2" type="noConversion"/>
  </si>
  <si>
    <t>Card_Magic_Slash_Name</t>
    <phoneticPr fontId="2" type="noConversion"/>
  </si>
  <si>
    <t>Card_Magic_Slash_Enhanced_Name</t>
    <phoneticPr fontId="2" type="noConversion"/>
  </si>
  <si>
    <t>Card_Magic_Sword_Name</t>
    <phoneticPr fontId="2" type="noConversion"/>
  </si>
  <si>
    <t>Card_Magic_Sword_Enhanced_Name</t>
    <phoneticPr fontId="2" type="noConversion"/>
  </si>
  <si>
    <t>Card_Magic_Claw_Name</t>
    <phoneticPr fontId="2" type="noConversion"/>
  </si>
  <si>
    <t>Card_Magic_Claw_Enhanced_Name</t>
    <phoneticPr fontId="2" type="noConversion"/>
  </si>
  <si>
    <t>Card_Magic_Cannon_Name</t>
    <phoneticPr fontId="2" type="noConversion"/>
  </si>
  <si>
    <t>Card_Magic_Cannon_Enhanced_Name</t>
    <phoneticPr fontId="2" type="noConversion"/>
  </si>
  <si>
    <t>Card_Frog_Name</t>
    <phoneticPr fontId="2" type="noConversion"/>
  </si>
  <si>
    <t>Card_Frog_Enhanced_Name</t>
    <phoneticPr fontId="2" type="noConversion"/>
  </si>
  <si>
    <t>Card_Inchant_Magic_Name</t>
    <phoneticPr fontId="2" type="noConversion"/>
  </si>
  <si>
    <t>Card_Inchant_Magic_Enhanced_Name</t>
    <phoneticPr fontId="2" type="noConversion"/>
  </si>
  <si>
    <t>Card_Ignite_Name</t>
    <phoneticPr fontId="2" type="noConversion"/>
  </si>
  <si>
    <t>Card_Ignite_Enhanced_Name</t>
    <phoneticPr fontId="2" type="noConversion"/>
  </si>
  <si>
    <t>Card_Flame_Explosion_Name</t>
    <phoneticPr fontId="2" type="noConversion"/>
  </si>
  <si>
    <t>Card_Flame_Explosion_Enhanced_Name</t>
    <phoneticPr fontId="2" type="noConversion"/>
  </si>
  <si>
    <t>Card_Ember_Name</t>
    <phoneticPr fontId="2" type="noConversion"/>
  </si>
  <si>
    <t>Card_Ember_Enhanced_Name</t>
    <phoneticPr fontId="2" type="noConversion"/>
  </si>
  <si>
    <t>Card_Flame_Wall_Name</t>
    <phoneticPr fontId="2" type="noConversion"/>
  </si>
  <si>
    <t>Card_Flame_Wall_Enhanced_Name</t>
    <phoneticPr fontId="2" type="noConversion"/>
  </si>
  <si>
    <t>Card_Chain_Ignition_Name</t>
    <phoneticPr fontId="2" type="noConversion"/>
  </si>
  <si>
    <t>Card_Chain_Ignition_Enhanced_Name</t>
    <phoneticPr fontId="2" type="noConversion"/>
  </si>
  <si>
    <t>Card_Volcano_Name</t>
    <phoneticPr fontId="2" type="noConversion"/>
  </si>
  <si>
    <t>Card_Volcano_Enhanced_Name</t>
    <phoneticPr fontId="2" type="noConversion"/>
  </si>
  <si>
    <t>Card_Freeze_Name</t>
    <phoneticPr fontId="2" type="noConversion"/>
  </si>
  <si>
    <t>Card_Freeze_Enhanced_Name</t>
    <phoneticPr fontId="2" type="noConversion"/>
  </si>
  <si>
    <t>Card_Frost_Blast_Name</t>
    <phoneticPr fontId="2" type="noConversion"/>
  </si>
  <si>
    <t>Card_Frost_Blast_Enhanced_Name</t>
    <phoneticPr fontId="2" type="noConversion"/>
  </si>
  <si>
    <t>Card_Spreading_Frost_Name</t>
    <phoneticPr fontId="2" type="noConversion"/>
  </si>
  <si>
    <t>Card_Spreading_Frost_Enhanced_Name</t>
    <phoneticPr fontId="2" type="noConversion"/>
  </si>
  <si>
    <t>Card_Ice_Sword_Name</t>
    <phoneticPr fontId="2" type="noConversion"/>
  </si>
  <si>
    <t>Card_Ice_Sword_Enhanced_Name</t>
    <phoneticPr fontId="2" type="noConversion"/>
  </si>
  <si>
    <t>Card_Ice_Spear_Name</t>
    <phoneticPr fontId="2" type="noConversion"/>
  </si>
  <si>
    <t>Card_Ice_Spear_Enhanced_Name</t>
    <phoneticPr fontId="2" type="noConversion"/>
  </si>
  <si>
    <t>Card_Ice_Arrow_Name</t>
    <phoneticPr fontId="2" type="noConversion"/>
  </si>
  <si>
    <t>Card_Ice_Arrow_Enhanced_Name</t>
    <phoneticPr fontId="2" type="noConversion"/>
  </si>
  <si>
    <t>Card_Current_Name</t>
    <phoneticPr fontId="2" type="noConversion"/>
  </si>
  <si>
    <t>Card_Current_Enhanced_Name</t>
    <phoneticPr fontId="2" type="noConversion"/>
  </si>
  <si>
    <t>Card_Lightning_Storm_Name</t>
    <phoneticPr fontId="2" type="noConversion"/>
  </si>
  <si>
    <t>Card_Lightning_Storm_Enhanced_Name</t>
    <phoneticPr fontId="2" type="noConversion"/>
  </si>
  <si>
    <t>Card_Overcurrent_Name</t>
    <phoneticPr fontId="2" type="noConversion"/>
  </si>
  <si>
    <t>Card_Overcurrent_Enhanced_Name</t>
    <phoneticPr fontId="2" type="noConversion"/>
  </si>
  <si>
    <t>Card_Lightning_Spear_Name</t>
    <phoneticPr fontId="2" type="noConversion"/>
  </si>
  <si>
    <t>Card_Lightning_Spear_Enhanced_Name</t>
    <phoneticPr fontId="2" type="noConversion"/>
  </si>
  <si>
    <t>Card_Spark_Name</t>
    <phoneticPr fontId="2" type="noConversion"/>
  </si>
  <si>
    <t>Card_Spark_Enhanced_Name</t>
    <phoneticPr fontId="2" type="noConversion"/>
  </si>
  <si>
    <t>Card_Thunderbolt_Name</t>
    <phoneticPr fontId="2" type="noConversion"/>
  </si>
  <si>
    <t>Card_Thunderbolt_Enhanced_Name</t>
    <phoneticPr fontId="2" type="noConversion"/>
  </si>
  <si>
    <t>Card_Magic_Spear_Des</t>
    <phoneticPr fontId="2" type="noConversion"/>
  </si>
  <si>
    <t>Card_Magic_Spear_Enhanced_Des</t>
    <phoneticPr fontId="2" type="noConversion"/>
  </si>
  <si>
    <t>Card_Magic_Slash_Des</t>
    <phoneticPr fontId="2" type="noConversion"/>
  </si>
  <si>
    <t>Card_Magic_Slash_Enhanced_Des</t>
    <phoneticPr fontId="2" type="noConversion"/>
  </si>
  <si>
    <t>Card_Magic_Sword_Des</t>
    <phoneticPr fontId="2" type="noConversion"/>
  </si>
  <si>
    <t>Card_Magic_Sword_Enhanced_Des</t>
    <phoneticPr fontId="2" type="noConversion"/>
  </si>
  <si>
    <t>Card_Magic_Claw_Des</t>
    <phoneticPr fontId="2" type="noConversion"/>
  </si>
  <si>
    <t>Card_Magic_Claw_Enhanced_Des</t>
    <phoneticPr fontId="2" type="noConversion"/>
  </si>
  <si>
    <t>Card_Magic_Cannon_Des</t>
    <phoneticPr fontId="2" type="noConversion"/>
  </si>
  <si>
    <t>Card_Magic_Cannon_Enhanced_Des</t>
    <phoneticPr fontId="2" type="noConversion"/>
  </si>
  <si>
    <t>Card_Frog_Des</t>
    <phoneticPr fontId="2" type="noConversion"/>
  </si>
  <si>
    <t>Card_Frog_Enhanced_Des</t>
    <phoneticPr fontId="2" type="noConversion"/>
  </si>
  <si>
    <t>Card_Inchant_Magic_Des</t>
    <phoneticPr fontId="2" type="noConversion"/>
  </si>
  <si>
    <t>Card_Inchant_Magic_Enhanced_Des</t>
    <phoneticPr fontId="2" type="noConversion"/>
  </si>
  <si>
    <t>Card_Ignite_Des</t>
    <phoneticPr fontId="2" type="noConversion"/>
  </si>
  <si>
    <t>Card_Ignite_Enhanced_Des</t>
    <phoneticPr fontId="2" type="noConversion"/>
  </si>
  <si>
    <t>Card_Flame_Explosion_Des</t>
    <phoneticPr fontId="2" type="noConversion"/>
  </si>
  <si>
    <t>Card_Flame_Explosion_Enhanced_Des</t>
    <phoneticPr fontId="2" type="noConversion"/>
  </si>
  <si>
    <t>Card_Ember_Des</t>
    <phoneticPr fontId="2" type="noConversion"/>
  </si>
  <si>
    <t>Card_Ember_Enhanced_Des</t>
    <phoneticPr fontId="2" type="noConversion"/>
  </si>
  <si>
    <t>Card_Flame_Wall_Des</t>
    <phoneticPr fontId="2" type="noConversion"/>
  </si>
  <si>
    <t>Card_Flame_Wall_Enhanced_Des</t>
    <phoneticPr fontId="2" type="noConversion"/>
  </si>
  <si>
    <t>Card_Chain_Ignition_Des</t>
    <phoneticPr fontId="2" type="noConversion"/>
  </si>
  <si>
    <t>Card_Chain_Ignition_Enhanced_Des</t>
    <phoneticPr fontId="2" type="noConversion"/>
  </si>
  <si>
    <t>Card_Volcano_Des</t>
    <phoneticPr fontId="2" type="noConversion"/>
  </si>
  <si>
    <t>Card_Volcano_Enhanced_Des</t>
    <phoneticPr fontId="2" type="noConversion"/>
  </si>
  <si>
    <t>Card_Freeze_Des</t>
    <phoneticPr fontId="2" type="noConversion"/>
  </si>
  <si>
    <t>Card_Freeze_Enhanced_Des</t>
    <phoneticPr fontId="2" type="noConversion"/>
  </si>
  <si>
    <t>Card_Frost_Blast_Des</t>
    <phoneticPr fontId="2" type="noConversion"/>
  </si>
  <si>
    <t>Card_Frost_Blast_Enhanced_Des</t>
    <phoneticPr fontId="2" type="noConversion"/>
  </si>
  <si>
    <t>Card_Spreading_Frost_Des</t>
    <phoneticPr fontId="2" type="noConversion"/>
  </si>
  <si>
    <t>Card_Spreading_Frost_Enhanced_Des</t>
    <phoneticPr fontId="2" type="noConversion"/>
  </si>
  <si>
    <t>Card_Ice_Sword_Des</t>
    <phoneticPr fontId="2" type="noConversion"/>
  </si>
  <si>
    <t>Card_Ice_Sword_Enhanced_Des</t>
    <phoneticPr fontId="2" type="noConversion"/>
  </si>
  <si>
    <t>Card_Ice_Spear_Des</t>
    <phoneticPr fontId="2" type="noConversion"/>
  </si>
  <si>
    <t>Card_Ice_Spear_Enhanced_Des</t>
    <phoneticPr fontId="2" type="noConversion"/>
  </si>
  <si>
    <t>Card_Ice_Arrow_Des</t>
    <phoneticPr fontId="2" type="noConversion"/>
  </si>
  <si>
    <t>Card_Ice_Arrow_Enhanced_Des</t>
    <phoneticPr fontId="2" type="noConversion"/>
  </si>
  <si>
    <t>Card_Current_Des</t>
    <phoneticPr fontId="2" type="noConversion"/>
  </si>
  <si>
    <t>Card_Current_Enhanced_Des</t>
    <phoneticPr fontId="2" type="noConversion"/>
  </si>
  <si>
    <t>Card_Lightning_Storm_Des</t>
    <phoneticPr fontId="2" type="noConversion"/>
  </si>
  <si>
    <t>Card_Lightning_Storm_Enhanced_Des</t>
    <phoneticPr fontId="2" type="noConversion"/>
  </si>
  <si>
    <t>Card_Overcurrent_Des</t>
    <phoneticPr fontId="2" type="noConversion"/>
  </si>
  <si>
    <t>Card_Overcurrent_Enhanced_Des</t>
    <phoneticPr fontId="2" type="noConversion"/>
  </si>
  <si>
    <t>Card_Lightning_Spear_Des</t>
    <phoneticPr fontId="2" type="noConversion"/>
  </si>
  <si>
    <t>Card_Lightning_Spear_Enhanced_Des</t>
    <phoneticPr fontId="2" type="noConversion"/>
  </si>
  <si>
    <t>Card_Spark_Des</t>
    <phoneticPr fontId="2" type="noConversion"/>
  </si>
  <si>
    <t>Card_Spark_Enhanced_Des</t>
    <phoneticPr fontId="2" type="noConversion"/>
  </si>
  <si>
    <t>Card_Thunderbolt_Des</t>
    <phoneticPr fontId="2" type="noConversion"/>
  </si>
  <si>
    <t>Card_Thunderbolt_Enhanced_Des</t>
    <phoneticPr fontId="2" type="noConversion"/>
  </si>
  <si>
    <t>Card_Magic_Slash</t>
    <phoneticPr fontId="2" type="noConversion"/>
  </si>
  <si>
    <t>Card_Magic_Sword</t>
    <phoneticPr fontId="2" type="noConversion"/>
  </si>
  <si>
    <t>무기</t>
    <phoneticPr fontId="2" type="noConversion"/>
  </si>
  <si>
    <t>마력 부산물</t>
    <phoneticPr fontId="2" type="noConversion"/>
  </si>
  <si>
    <t>마법사의 단검</t>
    <phoneticPr fontId="2" type="noConversion"/>
  </si>
  <si>
    <t>마법 주머니</t>
    <phoneticPr fontId="2" type="noConversion"/>
  </si>
  <si>
    <t>마력 자석</t>
    <phoneticPr fontId="2" type="noConversion"/>
  </si>
  <si>
    <t>응축된 오브</t>
    <phoneticPr fontId="2" type="noConversion"/>
  </si>
  <si>
    <t>혼돈의 주문서</t>
    <phoneticPr fontId="2" type="noConversion"/>
  </si>
  <si>
    <t>마법 렌즈</t>
    <phoneticPr fontId="2" type="noConversion"/>
  </si>
  <si>
    <t>마력 솥</t>
    <phoneticPr fontId="2" type="noConversion"/>
  </si>
  <si>
    <t>마나 서클3</t>
    <phoneticPr fontId="2" type="noConversion"/>
  </si>
  <si>
    <t>마나 서클5</t>
    <phoneticPr fontId="2" type="noConversion"/>
  </si>
  <si>
    <t>마나 서클7</t>
    <phoneticPr fontId="2" type="noConversion"/>
  </si>
  <si>
    <t>마나 서클11</t>
    <phoneticPr fontId="2" type="noConversion"/>
  </si>
  <si>
    <t>마법 포션</t>
    <phoneticPr fontId="2" type="noConversion"/>
  </si>
  <si>
    <t>마나 태그 카드를 사용할 때, x% 확률로 마나를 x 획득합니다.</t>
    <phoneticPr fontId="2" type="noConversion"/>
  </si>
  <si>
    <t>마나가 x이하일 때, 마나 태그 카드로 파괴한 타일의 점수가 x배수가 됩니다.</t>
    <phoneticPr fontId="2" type="noConversion"/>
  </si>
  <si>
    <t>누적 파괴 타일 x개마다, 마나를 x 획득합니다.</t>
    <phoneticPr fontId="2" type="noConversion"/>
  </si>
  <si>
    <t>스테이지 종료시 남은 마나 x 마다, 골드를 x 획득합니다.</t>
    <phoneticPr fontId="2" type="noConversion"/>
  </si>
  <si>
    <t>마법 카드의 요구 마나가 x배, 파괴 확률이 x배가 됩니다. 마법 카드로 파괴한 타일의 점수가 x배수가 됩니다.</t>
    <phoneticPr fontId="2" type="noConversion"/>
  </si>
  <si>
    <t>마나 (정수)</t>
    <phoneticPr fontId="2" type="noConversion"/>
  </si>
  <si>
    <t>파괴 타일 수(정수)</t>
    <phoneticPr fontId="2" type="noConversion"/>
  </si>
  <si>
    <t>매 스테이지마다 마법 카드의 요구 마나가 x부터 x사이의 수치로 무작위 변경됩니다. 마법 카드로 파괴한 타일의 점수가 x배수가 됩니다.</t>
    <phoneticPr fontId="2" type="noConversion"/>
  </si>
  <si>
    <t>마법 태그 카드로 파괴한 타일에 +x 배수의 점수를 추가합니다. 마법 태그 카드의 요구 마나 x마다 효과가 x만큼 줄어듭니다.</t>
    <phoneticPr fontId="2" type="noConversion"/>
  </si>
  <si>
    <t>마법 태그 카드를 사용할 때, x% 확률로 이번 스테이지에서 동일한 카드를 생성합니다. x%확률로 사용한 카드가 영구적으로 개구리가 됩니다.</t>
    <phoneticPr fontId="2" type="noConversion"/>
  </si>
  <si>
    <t>카드 사용 수(정수)</t>
    <phoneticPr fontId="2" type="noConversion"/>
  </si>
  <si>
    <t>누적 x번째로 사용하는 마법 카드의 요구 마나가 x 감소합니다.</t>
    <phoneticPr fontId="2" type="noConversion"/>
  </si>
  <si>
    <t>사용 시 다음에 사용하는 마법 태그 카드의 요구 마나가 x로 고정됩니다.</t>
    <phoneticPr fontId="2" type="noConversion"/>
  </si>
  <si>
    <t>Card_Illust_102</t>
  </si>
  <si>
    <t>Card_Illust_101</t>
  </si>
  <si>
    <t>Card_Illust_105</t>
  </si>
  <si>
    <t>Card_Illust_107</t>
    <phoneticPr fontId="2" type="noConversion"/>
  </si>
  <si>
    <t>Card_Illust_111</t>
    <phoneticPr fontId="2" type="noConversion"/>
  </si>
  <si>
    <t>Card_Illust_113</t>
    <phoneticPr fontId="2" type="noConversion"/>
  </si>
  <si>
    <t>Card_Illust_115</t>
    <phoneticPr fontId="2" type="noConversion"/>
  </si>
  <si>
    <t>Card_Illust_117</t>
    <phoneticPr fontId="2" type="noConversion"/>
  </si>
  <si>
    <t>Card_Illust_119</t>
    <phoneticPr fontId="2" type="noConversion"/>
  </si>
  <si>
    <t>Card_Illust_121</t>
    <phoneticPr fontId="2" type="noConversion"/>
  </si>
  <si>
    <t>Card_Effect_101</t>
  </si>
  <si>
    <t>Card_Effect_102</t>
    <phoneticPr fontId="2" type="noConversion"/>
  </si>
  <si>
    <t>Card_Effect_107</t>
    <phoneticPr fontId="2" type="noConversion"/>
  </si>
  <si>
    <t>Card_Effect_109</t>
    <phoneticPr fontId="2" type="noConversion"/>
  </si>
  <si>
    <t>Card_Effect_111</t>
    <phoneticPr fontId="2" type="noConversion"/>
  </si>
  <si>
    <t>Card_Effect_115</t>
    <phoneticPr fontId="2" type="noConversion"/>
  </si>
  <si>
    <t>Card_Effect_121</t>
    <phoneticPr fontId="2" type="noConversion"/>
  </si>
  <si>
    <t>파일명</t>
    <phoneticPr fontId="2" type="noConversion"/>
  </si>
  <si>
    <t>Mana</t>
    <phoneticPr fontId="2" type="noConversion"/>
  </si>
  <si>
    <t>마나 사용 카드 마나 값(마법사용)</t>
    <phoneticPr fontId="2" type="noConversion"/>
  </si>
  <si>
    <t>카드 태그 비트 타입 (05.TagData 참조)</t>
    <phoneticPr fontId="2" type="noConversion"/>
  </si>
  <si>
    <t>카드 추가정보 아이디 (04.CardAddData ID참조)</t>
    <phoneticPr fontId="2" type="noConversion"/>
  </si>
  <si>
    <t>Relic_Rarity</t>
  </si>
  <si>
    <t>Relic_Rarity</t>
    <phoneticPr fontId="2" type="noConversion"/>
  </si>
  <si>
    <t>Key</t>
  </si>
  <si>
    <t>Locale_Key</t>
  </si>
  <si>
    <t>Locale_Des</t>
  </si>
  <si>
    <t>이름</t>
  </si>
  <si>
    <t>설명</t>
  </si>
  <si>
    <t>03.유물 테이블</t>
    <phoneticPr fontId="2" type="noConversion"/>
  </si>
  <si>
    <t>유물 키 아이디</t>
    <phoneticPr fontId="2" type="noConversion"/>
  </si>
  <si>
    <t>유물 이름 언어 아이디</t>
    <phoneticPr fontId="2" type="noConversion"/>
  </si>
  <si>
    <t>유물 설명 언어 아이디</t>
    <phoneticPr fontId="2" type="noConversion"/>
  </si>
  <si>
    <t>개발자용 이름 확인</t>
    <phoneticPr fontId="2" type="noConversion"/>
  </si>
  <si>
    <t>개발자용 설명 확인</t>
    <phoneticPr fontId="2" type="noConversion"/>
  </si>
  <si>
    <t>유물 레어도 타입</t>
    <phoneticPr fontId="2" type="noConversion"/>
  </si>
  <si>
    <t>유물 밸류</t>
    <phoneticPr fontId="2" type="noConversion"/>
  </si>
  <si>
    <t>Value_01…</t>
    <phoneticPr fontId="2" type="noConversion"/>
  </si>
  <si>
    <t>확인 필요</t>
    <phoneticPr fontId="2" type="noConversion"/>
  </si>
  <si>
    <t>Card_Effect_124</t>
    <phoneticPr fontId="2" type="noConversion"/>
  </si>
  <si>
    <t>Card_Effect_125</t>
    <phoneticPr fontId="2" type="noConversion"/>
  </si>
  <si>
    <t>Card_Effect_101</t>
    <phoneticPr fontId="2" type="noConversion"/>
  </si>
  <si>
    <t>Card_Effect_133</t>
    <phoneticPr fontId="2" type="noConversion"/>
  </si>
  <si>
    <t>relic101</t>
    <phoneticPr fontId="2" type="noConversion"/>
  </si>
  <si>
    <t>relic102</t>
  </si>
  <si>
    <t>relic103</t>
  </si>
  <si>
    <t>relic104</t>
  </si>
  <si>
    <t>relic105</t>
  </si>
  <si>
    <t>relic106</t>
  </si>
  <si>
    <t>relic107</t>
  </si>
  <si>
    <t>relic108</t>
  </si>
  <si>
    <t>relic109</t>
  </si>
  <si>
    <t>relic110</t>
  </si>
  <si>
    <t>relic111</t>
  </si>
  <si>
    <t>relic112</t>
  </si>
  <si>
    <t>relic113</t>
  </si>
  <si>
    <t>relic114</t>
  </si>
  <si>
    <t>relic115</t>
  </si>
  <si>
    <t>relic116</t>
  </si>
  <si>
    <t>relic117</t>
  </si>
  <si>
    <t>relic118</t>
  </si>
  <si>
    <t>relic119</t>
  </si>
  <si>
    <t>relic120</t>
  </si>
  <si>
    <t>relic121</t>
  </si>
  <si>
    <t>relic122</t>
  </si>
  <si>
    <t>relic201</t>
    <phoneticPr fontId="2" type="noConversion"/>
  </si>
  <si>
    <t>relic202</t>
  </si>
  <si>
    <t>relic203</t>
  </si>
  <si>
    <t>relic204</t>
  </si>
  <si>
    <t>relic205</t>
  </si>
  <si>
    <t>relic206</t>
  </si>
  <si>
    <t>relic207</t>
  </si>
  <si>
    <t>relic208</t>
  </si>
  <si>
    <t>relic209</t>
  </si>
  <si>
    <t>relic210</t>
  </si>
  <si>
    <t>relic211</t>
  </si>
  <si>
    <t>relic212</t>
  </si>
  <si>
    <t>relic213</t>
  </si>
  <si>
    <t>랜덤 일반 타일 (Value_1)회 타격</t>
    <phoneticPr fontId="2" type="noConversion"/>
  </si>
  <si>
    <t>타격 횟수 (정수)</t>
    <phoneticPr fontId="2" type="noConversion"/>
  </si>
  <si>
    <t>파괴 확률 (만분률)</t>
    <phoneticPr fontId="2" type="noConversion"/>
  </si>
  <si>
    <t>타격 지점 전체 타일 균열</t>
    <phoneticPr fontId="2" type="noConversion"/>
  </si>
  <si>
    <t>균열 확률 (만분률)</t>
    <phoneticPr fontId="2" type="noConversion"/>
  </si>
  <si>
    <t>타격된 타일이 '암흑 타일'일 경우 해당 타일을 밝힘</t>
    <phoneticPr fontId="2" type="noConversion"/>
  </si>
  <si>
    <t>타일 확인 확률 (만분률)</t>
    <phoneticPr fontId="2" type="noConversion"/>
  </si>
  <si>
    <t>도움, 방해 타일 타격시 골드 획득</t>
    <phoneticPr fontId="2" type="noConversion"/>
  </si>
  <si>
    <t>골드 획득량 (정수)</t>
    <phoneticPr fontId="2" type="noConversion"/>
  </si>
  <si>
    <t>다음 차례 (Value1)태그 카드 사용 시 골드 획득량 (Value2)증가</t>
    <phoneticPr fontId="2" type="noConversion"/>
  </si>
  <si>
    <t>05.TagData ID참조 (아이디)</t>
    <phoneticPr fontId="2" type="noConversion"/>
  </si>
  <si>
    <t>배율(실수)</t>
    <phoneticPr fontId="2" type="noConversion"/>
  </si>
  <si>
    <t>도움, 방해 타일 타격시 골드 획득/방해 타일 파괴</t>
    <phoneticPr fontId="2" type="noConversion"/>
  </si>
  <si>
    <t>타격 타일이 잔상 타일일 경우 인접한(상하좌우) 무작위 일반 타일 (value1)개를 (Value2) 확률로 파괴합니다.</t>
    <phoneticPr fontId="2" type="noConversion"/>
  </si>
  <si>
    <t>일반 타일 부수는 개수 (정수)</t>
    <phoneticPr fontId="2" type="noConversion"/>
  </si>
  <si>
    <t>타격 타일이 잔상 타일일 경우 인접한(상하좌우, 대각선) 무작위 일반 타일 (value1)개를 (Value2) 확률로 파괴합니다.</t>
    <phoneticPr fontId="2" type="noConversion"/>
  </si>
  <si>
    <t>타일을 (Value1)개 파괴할 경우 타격된 모든 타일 파괴</t>
    <phoneticPr fontId="2" type="noConversion"/>
  </si>
  <si>
    <t>파괴된 타일 중 균열 타일 (Value1)개당 (Value2) 골드 지급</t>
    <phoneticPr fontId="2" type="noConversion"/>
  </si>
  <si>
    <t>타일을 (Value1)개 파괴할 경우 황금 태그 카드 (Value2)장을 드로우(단, 덱에 황금 태그 카드가 없을 경우 드로우X)</t>
    <phoneticPr fontId="2" type="noConversion"/>
  </si>
  <si>
    <t>타일을 (Value1)개 파괴할 경우 가로 일반 타일 전체 파괴</t>
    <phoneticPr fontId="2" type="noConversion"/>
  </si>
  <si>
    <t>타일 파괴 개수 확인 (정수)</t>
    <phoneticPr fontId="2" type="noConversion"/>
  </si>
  <si>
    <t>균열 타일 파괴 개수 (정수)</t>
    <phoneticPr fontId="2" type="noConversion"/>
  </si>
  <si>
    <t>카드 드로우 장수 (정수)</t>
    <phoneticPr fontId="2" type="noConversion"/>
  </si>
  <si>
    <t>Bit</t>
    <phoneticPr fontId="2" type="noConversion"/>
  </si>
  <si>
    <t>Name_Key</t>
    <phoneticPr fontId="2" type="noConversion"/>
  </si>
  <si>
    <t>Des_Key</t>
    <phoneticPr fontId="2" type="noConversion"/>
  </si>
  <si>
    <t>Tag_Des_1</t>
    <phoneticPr fontId="2" type="noConversion"/>
  </si>
  <si>
    <t>Tag_Des_2</t>
  </si>
  <si>
    <t>Tag_Des_3</t>
  </si>
  <si>
    <t>Tag_Des_4</t>
  </si>
  <si>
    <t>Tag_Des_5</t>
  </si>
  <si>
    <t>Tag_Des_6</t>
  </si>
  <si>
    <t>Tag_Des_7</t>
  </si>
  <si>
    <t>Tag_Des_8</t>
  </si>
  <si>
    <t>Tag_Des_9</t>
  </si>
  <si>
    <t>Tag_Des_10</t>
  </si>
  <si>
    <t>Tag_Name_1</t>
    <phoneticPr fontId="2" type="noConversion"/>
  </si>
  <si>
    <t>Tag_Name_2</t>
  </si>
  <si>
    <t>Tag_Name_3</t>
  </si>
  <si>
    <t>Tag_Name_4</t>
  </si>
  <si>
    <t>Tag_Name_5</t>
  </si>
  <si>
    <t>Tag_Name_6</t>
  </si>
  <si>
    <t>Tag_Name_7</t>
  </si>
  <si>
    <t>Tag_Name_8</t>
  </si>
  <si>
    <t>Tag_Name_9</t>
  </si>
  <si>
    <t>Tag_Name_10</t>
  </si>
  <si>
    <t>도구 사용 시 파괴 확률 (Value_1) 증가, 최대 (Value_2)확률까지 증가, 단 카드 강화 시 효과 삭제</t>
    <phoneticPr fontId="2" type="noConversion"/>
  </si>
  <si>
    <t>Tag_Image</t>
    <phoneticPr fontId="2" type="noConversion"/>
  </si>
  <si>
    <t>카드 사용 시 (Value1) 골드 획득</t>
    <phoneticPr fontId="2" type="noConversion"/>
  </si>
  <si>
    <t>Card_AdventurerTorch</t>
  </si>
  <si>
    <t>Card_AdventurerTorch_Name</t>
  </si>
  <si>
    <t>Card_AdventurerTorch_Des</t>
  </si>
  <si>
    <t>Card_AdventurerTorch_Enhanced</t>
  </si>
  <si>
    <t>Card_AdventurerTorch_Enhanced_Name</t>
  </si>
  <si>
    <t>Card_AdventurerTorch_Enhanced_Des</t>
  </si>
  <si>
    <t>카드 사용 시 파괴</t>
    <phoneticPr fontId="2" type="noConversion"/>
  </si>
  <si>
    <t>파괴 확률 증가 값(만분율)</t>
    <phoneticPr fontId="2" type="noConversion"/>
  </si>
  <si>
    <t>파괴 확률 최댓값(만분율)</t>
    <phoneticPr fontId="2" type="noConversion"/>
  </si>
  <si>
    <t>Card_Rake_Enhanced</t>
    <phoneticPr fontId="2" type="noConversion"/>
  </si>
  <si>
    <t>Card_Shovel_Enhanced</t>
    <phoneticPr fontId="2" type="noConversion"/>
  </si>
  <si>
    <t>Card_GoldenShovel</t>
    <phoneticPr fontId="2" type="noConversion"/>
  </si>
  <si>
    <t>Card_GoldenShovel_Enhanced</t>
    <phoneticPr fontId="2" type="noConversion"/>
  </si>
  <si>
    <t>Card_Axe</t>
    <phoneticPr fontId="2" type="noConversion"/>
  </si>
  <si>
    <t>Card_CrossChisel</t>
    <phoneticPr fontId="2" type="noConversion"/>
  </si>
  <si>
    <t>Card_CrossChisel_Enhanced</t>
    <phoneticPr fontId="2" type="noConversion"/>
  </si>
  <si>
    <t>Card_LargeScissors</t>
    <phoneticPr fontId="2" type="noConversion"/>
  </si>
  <si>
    <t>Card_LargeScissors_Enhanced</t>
    <phoneticPr fontId="2" type="noConversion"/>
  </si>
  <si>
    <t>relic101_Name</t>
  </si>
  <si>
    <t>relic101_Des</t>
  </si>
  <si>
    <t>relic102_Name</t>
  </si>
  <si>
    <t>relic102_Des</t>
  </si>
  <si>
    <t>relic103_Name</t>
  </si>
  <si>
    <t>relic103_Des</t>
  </si>
  <si>
    <t>relic104_Name</t>
  </si>
  <si>
    <t>relic104_Des</t>
  </si>
  <si>
    <t>relic105_Name</t>
  </si>
  <si>
    <t>relic105_Des</t>
  </si>
  <si>
    <t>relic106_Name</t>
  </si>
  <si>
    <t>relic106_Des</t>
  </si>
  <si>
    <t>relic107_Name</t>
  </si>
  <si>
    <t>relic107_Des</t>
  </si>
  <si>
    <t>relic108_Name</t>
  </si>
  <si>
    <t>relic108_Des</t>
  </si>
  <si>
    <t>relic109_Name</t>
  </si>
  <si>
    <t>relic109_Des</t>
  </si>
  <si>
    <t>relic110_Name</t>
  </si>
  <si>
    <t>relic110_Des</t>
  </si>
  <si>
    <t>relic111_Name</t>
  </si>
  <si>
    <t>relic111_Des</t>
  </si>
  <si>
    <t>relic112_Name</t>
  </si>
  <si>
    <t>relic112_Des</t>
  </si>
  <si>
    <t>relic113_Name</t>
  </si>
  <si>
    <t>relic113_Des</t>
  </si>
  <si>
    <t>relic114_Name</t>
  </si>
  <si>
    <t>relic114_Des</t>
  </si>
  <si>
    <t>relic115_Name</t>
  </si>
  <si>
    <t>relic115_Des</t>
  </si>
  <si>
    <t>relic116_Name</t>
  </si>
  <si>
    <t>relic116_Des</t>
  </si>
  <si>
    <t>relic117_Name</t>
  </si>
  <si>
    <t>relic117_Des</t>
  </si>
  <si>
    <t>relic118_Name</t>
  </si>
  <si>
    <t>relic118_Des</t>
  </si>
  <si>
    <t>relic119_Name</t>
  </si>
  <si>
    <t>relic119_Des</t>
  </si>
  <si>
    <t>relic120_Name</t>
  </si>
  <si>
    <t>relic120_Des</t>
  </si>
  <si>
    <t>relic121_Name</t>
  </si>
  <si>
    <t>relic121_Des</t>
  </si>
  <si>
    <t>relic122_Name</t>
  </si>
  <si>
    <t>relic122_Des</t>
  </si>
  <si>
    <t>relic201_Name</t>
  </si>
  <si>
    <t>relic201_Des</t>
  </si>
  <si>
    <t>relic202_Name</t>
  </si>
  <si>
    <t>relic202_Des</t>
  </si>
  <si>
    <t>relic203_Name</t>
  </si>
  <si>
    <t>relic203_Des</t>
  </si>
  <si>
    <t>relic204_Name</t>
  </si>
  <si>
    <t>relic204_Des</t>
  </si>
  <si>
    <t>relic205_Name</t>
  </si>
  <si>
    <t>relic205_Des</t>
  </si>
  <si>
    <t>relic206_Name</t>
  </si>
  <si>
    <t>relic206_Des</t>
  </si>
  <si>
    <t>relic207_Name</t>
  </si>
  <si>
    <t>relic207_Des</t>
  </si>
  <si>
    <t>relic208_Name</t>
  </si>
  <si>
    <t>relic208_Des</t>
  </si>
  <si>
    <t>relic209_Name</t>
  </si>
  <si>
    <t>relic209_Des</t>
  </si>
  <si>
    <t>relic210_Name</t>
  </si>
  <si>
    <t>relic210_Des</t>
  </si>
  <si>
    <t>relic211_Name</t>
  </si>
  <si>
    <t>relic211_Des</t>
  </si>
  <si>
    <t>relic212_Name</t>
  </si>
  <si>
    <t>relic212_Des</t>
  </si>
  <si>
    <t>relic213_Name</t>
  </si>
  <si>
    <t>relic213_Des</t>
  </si>
  <si>
    <t>(Value1) 확률로 동일한 위치에 재타격(카드 재사용)</t>
    <phoneticPr fontId="2" type="noConversion"/>
  </si>
  <si>
    <t>연소 부여 성공시 연소 부여 확률을 (Value1)만큼 낮추고 위 칸에 위치에 카드 재사용</t>
    <phoneticPr fontId="2" type="noConversion"/>
  </si>
  <si>
    <t>연소 타일 파괴시 화염 태그 카드 (Value1)장 드로우</t>
    <phoneticPr fontId="2" type="noConversion"/>
  </si>
  <si>
    <t>연소 타일 파괴시 화염 태그 카드 (Value1)장 생성</t>
    <phoneticPr fontId="2" type="noConversion"/>
  </si>
  <si>
    <t>연소 타일 타격시 인접한 타일(4칸)을 파괴</t>
    <phoneticPr fontId="2" type="noConversion"/>
  </si>
  <si>
    <t>연소 타일 타격시 인접한 타일(8칸)을 파괴</t>
    <phoneticPr fontId="2" type="noConversion"/>
  </si>
  <si>
    <t>발동 확률 (만분률)</t>
    <phoneticPr fontId="2" type="noConversion"/>
  </si>
  <si>
    <t>감소 부여 확률 (만분률)</t>
    <phoneticPr fontId="2" type="noConversion"/>
  </si>
  <si>
    <t>카드 생성 장수 (정수)</t>
    <phoneticPr fontId="2" type="noConversion"/>
  </si>
  <si>
    <t>마법사의 붉은 돌</t>
    <phoneticPr fontId="2" type="noConversion"/>
  </si>
  <si>
    <t>마법사의 푸른 돌</t>
    <phoneticPr fontId="2" type="noConversion"/>
  </si>
  <si>
    <t>마법사의 보랏빛 돌</t>
    <phoneticPr fontId="2" type="noConversion"/>
  </si>
  <si>
    <t>마법사의 무지개석</t>
    <phoneticPr fontId="2" type="noConversion"/>
  </si>
  <si>
    <t>본래 #얼음,#전기 태그가 없는 #마법 카드에 #화염 태그 추가</t>
    <phoneticPr fontId="2" type="noConversion"/>
  </si>
  <si>
    <t>relic214</t>
  </si>
  <si>
    <t>relic215</t>
  </si>
  <si>
    <t>relic216</t>
  </si>
  <si>
    <t>relic217</t>
  </si>
  <si>
    <t>relic214_Name</t>
  </si>
  <si>
    <t>relic214_Des</t>
  </si>
  <si>
    <t>relic215_Name</t>
  </si>
  <si>
    <t>relic215_Des</t>
  </si>
  <si>
    <t>relic216_Name</t>
  </si>
  <si>
    <t>relic216_Des</t>
  </si>
  <si>
    <t>relic217_Name</t>
  </si>
  <si>
    <t>relic217_Des</t>
  </si>
  <si>
    <t>본래 #화염,#전기 태그가 없는 #마법 카드에 #얼음 태그 추가</t>
    <phoneticPr fontId="2" type="noConversion"/>
  </si>
  <si>
    <t>본래 #화염,#얼음 태그가 없는 #마법 카드에 #전기 태그 추가</t>
    <phoneticPr fontId="2" type="noConversion"/>
  </si>
  <si>
    <t>#화염#얼음#전기가 없는 #마법 카드에 매 턴 #화염, #얼음, #전기 중 하나를 순차적으로 부여</t>
    <phoneticPr fontId="2" type="noConversion"/>
  </si>
  <si>
    <t>불사조의 깃털</t>
    <phoneticPr fontId="2" type="noConversion"/>
  </si>
  <si>
    <t xml:space="preserve">불타는 마법 스크롤 </t>
    <phoneticPr fontId="2" type="noConversion"/>
  </si>
  <si>
    <t>얼어붙은 마법 스크롤</t>
    <phoneticPr fontId="2" type="noConversion"/>
  </si>
  <si>
    <t>번쩍이는 마법 스크롤</t>
    <phoneticPr fontId="2" type="noConversion"/>
  </si>
  <si>
    <t>다용도 횃불기름</t>
    <phoneticPr fontId="2" type="noConversion"/>
  </si>
  <si>
    <t>되살아난 불씨</t>
    <phoneticPr fontId="2" type="noConversion"/>
  </si>
  <si>
    <t>버려진 성냥갑</t>
    <phoneticPr fontId="2" type="noConversion"/>
  </si>
  <si>
    <t>불사조의 알</t>
    <phoneticPr fontId="2" type="noConversion"/>
  </si>
  <si>
    <t>촛불</t>
    <phoneticPr fontId="2" type="noConversion"/>
  </si>
  <si>
    <t>목탄</t>
    <phoneticPr fontId="2" type="noConversion"/>
  </si>
  <si>
    <t>그을린 망토</t>
    <phoneticPr fontId="2" type="noConversion"/>
  </si>
  <si>
    <t>그을린 왕관</t>
    <phoneticPr fontId="2" type="noConversion"/>
  </si>
  <si>
    <t>그을린 갑옷</t>
    <phoneticPr fontId="2" type="noConversion"/>
  </si>
  <si>
    <t>그을린 장검</t>
    <phoneticPr fontId="2" type="noConversion"/>
  </si>
  <si>
    <t>relic218</t>
  </si>
  <si>
    <t>relic218_Name</t>
  </si>
  <si>
    <t>relic218_Des</t>
  </si>
  <si>
    <t>relic219</t>
  </si>
  <si>
    <t>relic219_Name</t>
  </si>
  <si>
    <t>relic219_Des</t>
  </si>
  <si>
    <t>relic220</t>
  </si>
  <si>
    <t>relic220_Name</t>
  </si>
  <si>
    <t>relic220_Des</t>
  </si>
  <si>
    <t>relic221</t>
  </si>
  <si>
    <t>relic221_Name</t>
  </si>
  <si>
    <t>relic221_Des</t>
  </si>
  <si>
    <t>relic222</t>
  </si>
  <si>
    <t>relic222_Name</t>
  </si>
  <si>
    <t>relic222_Des</t>
  </si>
  <si>
    <t>relic223</t>
  </si>
  <si>
    <t>relic223_Name</t>
  </si>
  <si>
    <t>relic223_Des</t>
  </si>
  <si>
    <t>relic224</t>
  </si>
  <si>
    <t>relic224_Name</t>
  </si>
  <si>
    <t>relic224_Des</t>
  </si>
  <si>
    <t>relic225</t>
  </si>
  <si>
    <t>relic225_Name</t>
  </si>
  <si>
    <t>relic225_Des</t>
  </si>
  <si>
    <t>relic226</t>
  </si>
  <si>
    <t>relic226_Name</t>
  </si>
  <si>
    <t>relic226_Des</t>
  </si>
  <si>
    <t>relic227</t>
  </si>
  <si>
    <t>relic227_Name</t>
  </si>
  <si>
    <t>relic227_Des</t>
  </si>
  <si>
    <t>relic228</t>
  </si>
  <si>
    <t>relic228_Name</t>
  </si>
  <si>
    <t>relic228_Des</t>
  </si>
  <si>
    <t>relic229</t>
  </si>
  <si>
    <t>relic229_Name</t>
  </si>
  <si>
    <t>relic229_Des</t>
  </si>
  <si>
    <t>relic230</t>
  </si>
  <si>
    <t>relic230_Name</t>
  </si>
  <si>
    <t>relic230_Des</t>
  </si>
  <si>
    <t>relic231</t>
  </si>
  <si>
    <t>relic231_Name</t>
  </si>
  <si>
    <t>relic231_Des</t>
  </si>
  <si>
    <t>눈 오리</t>
    <phoneticPr fontId="2" type="noConversion"/>
  </si>
  <si>
    <t>녹지않는 얼음</t>
    <phoneticPr fontId="2" type="noConversion"/>
  </si>
  <si>
    <t>얼어붙은 뿌리</t>
    <phoneticPr fontId="2" type="noConversion"/>
  </si>
  <si>
    <t>얼음 폭죽</t>
    <phoneticPr fontId="2" type="noConversion"/>
  </si>
  <si>
    <t>얼음 도미노</t>
    <phoneticPr fontId="2" type="noConversion"/>
  </si>
  <si>
    <t>아이스크림</t>
    <phoneticPr fontId="2" type="noConversion"/>
  </si>
  <si>
    <t>떨어진 고드름</t>
    <phoneticPr fontId="2" type="noConversion"/>
  </si>
  <si>
    <t>얼어붙은 대검</t>
    <phoneticPr fontId="2" type="noConversion"/>
  </si>
  <si>
    <t>스케이트</t>
    <phoneticPr fontId="2" type="noConversion"/>
  </si>
  <si>
    <t>마지막 카드 사용 후 무작위 타일 1칸 파괴, #빙결 타일에 우선 적용</t>
    <phoneticPr fontId="2" type="noConversion"/>
  </si>
  <si>
    <t>전기석</t>
    <phoneticPr fontId="2" type="noConversion"/>
  </si>
  <si>
    <t>배터리</t>
    <phoneticPr fontId="2" type="noConversion"/>
  </si>
  <si>
    <t>스위치</t>
    <phoneticPr fontId="2" type="noConversion"/>
  </si>
  <si>
    <t>고무 장갑</t>
    <phoneticPr fontId="2" type="noConversion"/>
  </si>
  <si>
    <t>플라즈마 글로브</t>
    <phoneticPr fontId="2" type="noConversion"/>
  </si>
  <si>
    <t>퓨즈</t>
    <phoneticPr fontId="2" type="noConversion"/>
  </si>
  <si>
    <t>전선</t>
    <phoneticPr fontId="2" type="noConversion"/>
  </si>
  <si>
    <t>크고 빨간 버튼</t>
    <phoneticPr fontId="2" type="noConversion"/>
  </si>
  <si>
    <t>먹구름 플라스크</t>
    <phoneticPr fontId="2" type="noConversion"/>
  </si>
  <si>
    <t>피뢰침 자검</t>
    <phoneticPr fontId="2" type="noConversion"/>
  </si>
  <si>
    <t>매 턴 랜덤 타일 1개에 #감전 부여, #감전, 함정 타일에 발동하지 않음</t>
    <phoneticPr fontId="2" type="noConversion"/>
  </si>
  <si>
    <t>#감전 타일 파괴 시 점수를 얻지도 잃지도 않음</t>
    <phoneticPr fontId="2" type="noConversion"/>
  </si>
  <si>
    <t>relic232</t>
  </si>
  <si>
    <t>relic232_Name</t>
  </si>
  <si>
    <t>relic232_Des</t>
  </si>
  <si>
    <t>relic233</t>
  </si>
  <si>
    <t>relic233_Name</t>
  </si>
  <si>
    <t>relic233_Des</t>
  </si>
  <si>
    <t>relic234</t>
  </si>
  <si>
    <t>relic234_Name</t>
  </si>
  <si>
    <t>relic234_Des</t>
  </si>
  <si>
    <t>relic235</t>
  </si>
  <si>
    <t>relic235_Name</t>
  </si>
  <si>
    <t>relic235_Des</t>
  </si>
  <si>
    <t>relic236</t>
  </si>
  <si>
    <t>relic236_Name</t>
  </si>
  <si>
    <t>relic236_Des</t>
  </si>
  <si>
    <t>relic237</t>
  </si>
  <si>
    <t>relic237_Name</t>
  </si>
  <si>
    <t>relic237_Des</t>
  </si>
  <si>
    <t>relic238</t>
  </si>
  <si>
    <t>relic238_Name</t>
  </si>
  <si>
    <t>relic238_Des</t>
  </si>
  <si>
    <t>relic239</t>
  </si>
  <si>
    <t>relic239_Name</t>
  </si>
  <si>
    <t>relic239_Des</t>
  </si>
  <si>
    <t>relic240</t>
  </si>
  <si>
    <t>relic240_Name</t>
  </si>
  <si>
    <t>relic240_Des</t>
  </si>
  <si>
    <t>relic241</t>
  </si>
  <si>
    <t>relic241_Name</t>
  </si>
  <si>
    <t>relic241_Des</t>
  </si>
  <si>
    <t>relic242</t>
  </si>
  <si>
    <t>relic242_Name</t>
  </si>
  <si>
    <t>relic242_Des</t>
  </si>
  <si>
    <t>relic243</t>
  </si>
  <si>
    <t>relic243_Name</t>
  </si>
  <si>
    <t>relic243_Des</t>
  </si>
  <si>
    <t>relic244</t>
  </si>
  <si>
    <t>relic244_Name</t>
  </si>
  <si>
    <t>relic244_Des</t>
  </si>
  <si>
    <t>relic245</t>
  </si>
  <si>
    <t>relic245_Name</t>
  </si>
  <si>
    <t>relic245_Des</t>
  </si>
  <si>
    <t>relic246</t>
  </si>
  <si>
    <t>relic246_Name</t>
  </si>
  <si>
    <t>relic246_Des</t>
  </si>
  <si>
    <t>relic247</t>
  </si>
  <si>
    <t>relic247_Name</t>
  </si>
  <si>
    <t>relic247_Des</t>
  </si>
  <si>
    <t>relic248</t>
  </si>
  <si>
    <t>relic248_Name</t>
  </si>
  <si>
    <t>relic248_Des</t>
  </si>
  <si>
    <t>relic249</t>
  </si>
  <si>
    <t>relic249_Name</t>
  </si>
  <si>
    <t>relic249_Des</t>
  </si>
  <si>
    <t>relic250</t>
  </si>
  <si>
    <t>relic250_Name</t>
  </si>
  <si>
    <t>relic250_Des</t>
  </si>
  <si>
    <t>속성제어장치</t>
    <phoneticPr fontId="2" type="noConversion"/>
  </si>
  <si>
    <t>속성증폭장치</t>
    <phoneticPr fontId="2" type="noConversion"/>
  </si>
  <si>
    <t>냉각소화기</t>
    <phoneticPr fontId="2" type="noConversion"/>
  </si>
  <si>
    <t>초전도체</t>
    <phoneticPr fontId="2" type="noConversion"/>
  </si>
  <si>
    <t>과열회로</t>
    <phoneticPr fontId="2" type="noConversion"/>
  </si>
  <si>
    <t>삼위일체</t>
    <phoneticPr fontId="2" type="noConversion"/>
  </si>
  <si>
    <t>relic251</t>
  </si>
  <si>
    <t>relic251_Name</t>
  </si>
  <si>
    <t>relic251_Des</t>
  </si>
  <si>
    <t>relic252</t>
  </si>
  <si>
    <t>relic252_Name</t>
  </si>
  <si>
    <t>relic252_Des</t>
  </si>
  <si>
    <t>relic253</t>
  </si>
  <si>
    <t>relic253_Name</t>
  </si>
  <si>
    <t>relic253_Des</t>
  </si>
  <si>
    <t>relic254</t>
  </si>
  <si>
    <t>relic254_Name</t>
  </si>
  <si>
    <t>relic254_Des</t>
  </si>
  <si>
    <t>relic255</t>
  </si>
  <si>
    <t>relic255_Name</t>
  </si>
  <si>
    <t>relic255_Des</t>
  </si>
  <si>
    <t>relic256</t>
  </si>
  <si>
    <t>relic256_Name</t>
  </si>
  <si>
    <t>relic256_Des</t>
  </si>
  <si>
    <t>#빙결의 연쇄 파괴 효과 제거, #빙결 타일에 #감전이 부여되었을 때 인접한 #빙결 타일에 모두 #감전을 부여</t>
    <phoneticPr fontId="2" type="noConversion"/>
  </si>
  <si>
    <t>#화염,#마법 태그가 있는 카드의 #마법 태그 제거, 파괴확률/효과확률 (Value1)배</t>
    <phoneticPr fontId="2" type="noConversion"/>
  </si>
  <si>
    <t>#얼음,#마법 태그가 있는 카드의 #마법 태그 제거, 파괴확률/효과확률 (Value1)배</t>
    <phoneticPr fontId="2" type="noConversion"/>
  </si>
  <si>
    <t>#전기,#마법 태그가 있는 카드의 #마법 태그 제거, 파괴확률/효과확률 (Value1)배</t>
    <phoneticPr fontId="2" type="noConversion"/>
  </si>
  <si>
    <t>#화염 태그 카드 사용시, (Value1)%확률로 손패에 사용한 카드 생성</t>
    <phoneticPr fontId="2" type="noConversion"/>
  </si>
  <si>
    <t>#도구 카드에 #화염 태그 추가, 도구 카드 파괴 고정확률 +(Value1)%</t>
    <phoneticPr fontId="2" type="noConversion"/>
  </si>
  <si>
    <t>매 턴 각 #연소 타일이 (Value1)%확률로 연소를 고려하지않은 파괴 점수를 다시 얻음</t>
    <phoneticPr fontId="2" type="noConversion"/>
  </si>
  <si>
    <t>#연소 타일 파괴시 (Value1)% 확률로 손패에 랜덤한 #화염 카드 임시(이번 스테이지) 생성</t>
    <phoneticPr fontId="2" type="noConversion"/>
  </si>
  <si>
    <t>#연소 타일 파괴시 (Value1)% 확률로 새 타일 생성</t>
    <phoneticPr fontId="2" type="noConversion"/>
  </si>
  <si>
    <t>#연소 부여시 얻는 점수 배율 +(value1)</t>
    <phoneticPr fontId="2" type="noConversion"/>
  </si>
  <si>
    <t>존재하는 #연소 타일 1개당 타일 기본 파괴 점수 +(Value1)</t>
    <phoneticPr fontId="2" type="noConversion"/>
  </si>
  <si>
    <t>#연소 타일의 파괴 점수가 +(Value1)가 된다. #연소 타일 점수 배율 +0.25</t>
    <phoneticPr fontId="2" type="noConversion"/>
  </si>
  <si>
    <t>#연소 타일의 파괴 점수가 +(Value1)가 된다.</t>
    <phoneticPr fontId="2" type="noConversion"/>
  </si>
  <si>
    <t>#얼음 태그 카드의 파괴 확률이 (Value1)%까지 감소, 감소한 확률만큼 #빙결 부여 확률 상승</t>
    <phoneticPr fontId="2" type="noConversion"/>
  </si>
  <si>
    <t>#연소 타일 점수 배율 +(Value1)</t>
    <phoneticPr fontId="2" type="noConversion"/>
  </si>
  <si>
    <t>#얼음 태그 카드 사용시, (Value1)%확률로 손패에 사용한 카드 생성</t>
    <phoneticPr fontId="2" type="noConversion"/>
  </si>
  <si>
    <t>#빙결 타일 파괴 연쇄시 #빙결 타일 파괴 점수 배율 +(V1), 턴 시작시 배율 초기화</t>
    <phoneticPr fontId="2" type="noConversion"/>
  </si>
  <si>
    <t>#빙결 타일 파괴 연쇄시 #빙결 타일 파괴 점수가 +(V1)이 된다. 턴 시작시 파괴 점수 초기화</t>
    <phoneticPr fontId="2" type="noConversion"/>
  </si>
  <si>
    <t>#빙결 타일을 직선 8칸으로 이을 때마다 #빙결 타일 파괴 점수 배율 +(V1) (최대 +(V2))</t>
    <phoneticPr fontId="2" type="noConversion"/>
  </si>
  <si>
    <t>#빙결 타일 파괴 점수 배율 +(V1)</t>
    <phoneticPr fontId="2" type="noConversion"/>
  </si>
  <si>
    <t>#빙결 타일의 파괴 점수가 +(V1)가 된다. #빙결 타일 점수 배율 +(V2)</t>
    <phoneticPr fontId="2" type="noConversion"/>
  </si>
  <si>
    <t>#전기 태그 카드 사용시 (V1)% 확률로 마나 (V2) 획득</t>
    <phoneticPr fontId="2" type="noConversion"/>
  </si>
  <si>
    <t>#전기 태그 카드 (V1)장 사용시 손패에 #전기 카드 생성</t>
    <phoneticPr fontId="2" type="noConversion"/>
  </si>
  <si>
    <t>매 턴 각 #빙결 타일이 (V1)%확률로 인접한 타일 한 칸에 #빙결 부여</t>
    <phoneticPr fontId="2" type="noConversion"/>
  </si>
  <si>
    <t>매 턴 각 #감전 타일이 점수를 얻을 때 (V1)%확률로 한 번 더 발동</t>
    <phoneticPr fontId="2" type="noConversion"/>
  </si>
  <si>
    <t>#감전 타일의 파괴 점수 +(V1)</t>
    <phoneticPr fontId="2" type="noConversion"/>
  </si>
  <si>
    <t>#감전 타일 효과 배율 +(V1)</t>
    <phoneticPr fontId="2" type="noConversion"/>
  </si>
  <si>
    <t>#감전 타일이 인접한 감전 타일 하나마다 #감전 타일 효과 배율+(V1)(상하좌우 최대 4번)</t>
    <phoneticPr fontId="2" type="noConversion"/>
  </si>
  <si>
    <t>마지막 카드를 사용했을 때 #감전 타일 효과가 (V1)번 더 발동</t>
    <phoneticPr fontId="2" type="noConversion"/>
  </si>
  <si>
    <t>횟수 (정수)</t>
    <phoneticPr fontId="2" type="noConversion"/>
  </si>
  <si>
    <t>#감전 타일의 파괴 점수가 +(V1)가 된다. #감전 타일 효과 배율 +(V2)</t>
    <phoneticPr fontId="2" type="noConversion"/>
  </si>
  <si>
    <t>#마법 카드의 소모 마나 (V1)증가, #화염,#얼음,#전기 카드 사용시 각각 다음에 사용하는 #얼음,#전기,#화염 카드의 소모 마나 (V2) 감소</t>
    <phoneticPr fontId="2" type="noConversion"/>
  </si>
  <si>
    <t>#화염 #얼음 #전기 순으로 카드 (V1)장 사용시 손 패에 #화염,#얼음,#전기 카드 중 1장 랜덤 (이번 스테이지) 생성</t>
    <phoneticPr fontId="2" type="noConversion"/>
  </si>
  <si>
    <t>#연소 부여 점수 제거, #연소 타일에 #빙결이 부여되었을 때 #연소 부여 점수(파괴 점수)의 (V1)배를 얻음</t>
    <phoneticPr fontId="2" type="noConversion"/>
  </si>
  <si>
    <t>#감전의 점수 배율 (V1)배, #감전 파괴 리스크 제거, #감전 타일에 #연소가 부여되어 있을 때 #감전의 점수 배율 (V2)배로 변경</t>
    <phoneticPr fontId="2" type="noConversion"/>
  </si>
  <si>
    <t>#연소, #빙결, #감전이 모두 부여된 타일의 파괴 점수 +(V1), 그을린 장검/얼어붙은 대검/피뢰침 자검을 모두 소지 시 효과가 (V2)배 증가</t>
    <phoneticPr fontId="2" type="noConversion"/>
  </si>
  <si>
    <t>Pack_Id</t>
    <phoneticPr fontId="2" type="noConversion"/>
  </si>
  <si>
    <t>Name_ID</t>
    <phoneticPr fontId="2" type="noConversion"/>
  </si>
  <si>
    <t>팩 이름</t>
    <phoneticPr fontId="2" type="noConversion"/>
  </si>
  <si>
    <t>Gatch_Key</t>
    <phoneticPr fontId="2" type="noConversion"/>
  </si>
  <si>
    <t>Pack_Resource</t>
    <phoneticPr fontId="2" type="noConversion"/>
  </si>
  <si>
    <t>ad01</t>
    <phoneticPr fontId="2" type="noConversion"/>
  </si>
  <si>
    <t>ad01_name</t>
    <phoneticPr fontId="2" type="noConversion"/>
  </si>
  <si>
    <t>모험가 확인용 팩</t>
    <phoneticPr fontId="2" type="noConversion"/>
  </si>
  <si>
    <t>Pack_Id</t>
  </si>
  <si>
    <t>팩 키 아이디</t>
    <phoneticPr fontId="2" type="noConversion"/>
  </si>
  <si>
    <t>Name_ID</t>
  </si>
  <si>
    <t>언어 아이디</t>
    <phoneticPr fontId="2" type="noConversion"/>
  </si>
  <si>
    <t>팩 이름</t>
  </si>
  <si>
    <t>팩 이름 개발용</t>
    <phoneticPr fontId="2" type="noConversion"/>
  </si>
  <si>
    <t>Gatch_Key</t>
  </si>
  <si>
    <t>가챠 키값</t>
    <phoneticPr fontId="2" type="noConversion"/>
  </si>
  <si>
    <t>Pack_Resource</t>
  </si>
  <si>
    <t>리소스 이름</t>
    <phoneticPr fontId="2" type="noConversion"/>
  </si>
  <si>
    <t>No</t>
    <phoneticPr fontId="2" type="noConversion"/>
  </si>
  <si>
    <t>Gacha_type</t>
    <phoneticPr fontId="2" type="noConversion"/>
  </si>
  <si>
    <t>Gacha_Id</t>
    <phoneticPr fontId="2" type="noConversion"/>
  </si>
  <si>
    <t>Rate</t>
    <phoneticPr fontId="2" type="noConversion"/>
  </si>
  <si>
    <t>Reward_Type</t>
    <phoneticPr fontId="2" type="noConversion"/>
  </si>
  <si>
    <t>보상 명칭</t>
    <phoneticPr fontId="2" type="noConversion"/>
  </si>
  <si>
    <t>Reward_Valuue</t>
    <phoneticPr fontId="2" type="noConversion"/>
  </si>
  <si>
    <t>Reward_Count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</si>
</sst>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맑은 고딕"/>
      <family val="2"/>
      <charset val="129"/>
      <scheme val="minor"/>
    </font>
    <font>
      <sz val="9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9"/>
      <color theme="1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z val="9"/>
      <color theme="0"/>
      <name val="맑은 고딕"/>
      <family val="3"/>
      <charset val="129"/>
      <scheme val="minor"/>
    </font>
    <font>
      <sz val="9"/>
      <color theme="0"/>
      <name val="맑은 고딕"/>
      <family val="3"/>
      <charset val="129"/>
      <scheme val="minor"/>
    </font>
    <font>
      <b/>
      <sz val="9"/>
      <color theme="0" tint="-4.9989318521683403E-2"/>
      <name val="맑은 고딕"/>
      <family val="3"/>
      <charset val="129"/>
      <scheme val="minor"/>
    </font>
    <font>
      <sz val="9"/>
      <color rgb="FFFF0000"/>
      <name val="맑은 고딕"/>
      <family val="3"/>
      <charset val="129"/>
      <scheme val="minor"/>
    </font>
    <font>
      <b/>
      <sz val="9"/>
      <name val="맑은 고딕"/>
      <family val="3"/>
      <charset val="129"/>
      <scheme val="minor"/>
    </font>
    <font>
      <sz val="9"/>
      <name val="맑은 고딕"/>
      <family val="3"/>
      <charset val="129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2" tint="-0.249977111117893"/>
        <bgColor indexed="64"/>
      </patternFill>
    </fill>
  </fills>
  <borders count="9">
    <border>
      <left/>
      <right/>
      <top/>
      <bottom/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6795556505021"/>
      </left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3743705557422"/>
      </top>
      <bottom style="thin">
        <color theme="0" tint="-0.14993743705557422"/>
      </bottom>
      <diagonal/>
    </border>
    <border>
      <left/>
      <right style="thin">
        <color theme="0" tint="-0.14993743705557422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3743705557422"/>
      </left>
      <right/>
      <top style="thin">
        <color theme="0" tint="-0.14993743705557422"/>
      </top>
      <bottom style="thin">
        <color theme="0" tint="-0.14993743705557422"/>
      </bottom>
      <diagonal/>
    </border>
    <border>
      <left/>
      <right style="thin">
        <color theme="0" tint="-0.14993743705557422"/>
      </right>
      <top style="thin">
        <color theme="0" tint="-0.14993743705557422"/>
      </top>
      <bottom style="thin">
        <color theme="0" tint="-0.14993743705557422"/>
      </bottom>
      <diagonal/>
    </border>
  </borders>
  <cellStyleXfs count="1">
    <xf numFmtId="0" fontId="0" fillId="0" borderId="0">
      <alignment vertical="center"/>
    </xf>
  </cellStyleXfs>
  <cellXfs count="37">
    <xf numFmtId="0" fontId="0" fillId="0" borderId="0" xfId="0">
      <alignment vertical="center"/>
    </xf>
    <xf numFmtId="0" fontId="1" fillId="2" borderId="0" xfId="0" applyFont="1" applyFill="1">
      <alignment vertical="center"/>
    </xf>
    <xf numFmtId="0" fontId="3" fillId="2" borderId="1" xfId="0" applyFont="1" applyFill="1" applyBorder="1">
      <alignment vertical="center"/>
    </xf>
    <xf numFmtId="0" fontId="1" fillId="2" borderId="1" xfId="0" applyFont="1" applyFill="1" applyBorder="1">
      <alignment vertical="center"/>
    </xf>
    <xf numFmtId="0" fontId="4" fillId="2" borderId="0" xfId="0" applyFont="1" applyFill="1">
      <alignment vertical="center"/>
    </xf>
    <xf numFmtId="0" fontId="4" fillId="4" borderId="0" xfId="0" applyFont="1" applyFill="1">
      <alignment vertical="center"/>
    </xf>
    <xf numFmtId="0" fontId="4" fillId="2" borderId="1" xfId="0" applyFont="1" applyFill="1" applyBorder="1">
      <alignment vertical="center"/>
    </xf>
    <xf numFmtId="0" fontId="4" fillId="3" borderId="1" xfId="0" applyFont="1" applyFill="1" applyBorder="1">
      <alignment vertical="center"/>
    </xf>
    <xf numFmtId="0" fontId="3" fillId="3" borderId="1" xfId="0" applyFont="1" applyFill="1" applyBorder="1">
      <alignment vertical="center"/>
    </xf>
    <xf numFmtId="0" fontId="3" fillId="2" borderId="5" xfId="0" applyFont="1" applyFill="1" applyBorder="1">
      <alignment vertical="center"/>
    </xf>
    <xf numFmtId="0" fontId="4" fillId="2" borderId="5" xfId="0" applyFont="1" applyFill="1" applyBorder="1">
      <alignment vertical="center"/>
    </xf>
    <xf numFmtId="0" fontId="3" fillId="2" borderId="0" xfId="0" applyFont="1" applyFill="1">
      <alignment vertical="center"/>
    </xf>
    <xf numFmtId="0" fontId="3" fillId="5" borderId="0" xfId="0" applyFont="1" applyFill="1">
      <alignment vertical="center"/>
    </xf>
    <xf numFmtId="0" fontId="4" fillId="5" borderId="0" xfId="0" applyFont="1" applyFill="1">
      <alignment vertical="center"/>
    </xf>
    <xf numFmtId="0" fontId="5" fillId="6" borderId="1" xfId="0" applyFont="1" applyFill="1" applyBorder="1">
      <alignment vertical="center"/>
    </xf>
    <xf numFmtId="0" fontId="6" fillId="6" borderId="1" xfId="0" applyFont="1" applyFill="1" applyBorder="1">
      <alignment vertical="center"/>
    </xf>
    <xf numFmtId="0" fontId="1" fillId="0" borderId="0" xfId="0" applyFont="1">
      <alignment vertical="center"/>
    </xf>
    <xf numFmtId="0" fontId="1" fillId="5" borderId="0" xfId="0" applyFont="1" applyFill="1">
      <alignment vertical="center"/>
    </xf>
    <xf numFmtId="0" fontId="3" fillId="0" borderId="0" xfId="0" applyFont="1">
      <alignment vertical="center"/>
    </xf>
    <xf numFmtId="0" fontId="7" fillId="2" borderId="1" xfId="0" applyFont="1" applyFill="1" applyBorder="1">
      <alignment vertical="center"/>
    </xf>
    <xf numFmtId="0" fontId="3" fillId="7" borderId="1" xfId="0" applyFont="1" applyFill="1" applyBorder="1">
      <alignment vertical="center"/>
    </xf>
    <xf numFmtId="0" fontId="4" fillId="7" borderId="1" xfId="0" applyFont="1" applyFill="1" applyBorder="1">
      <alignment vertical="center"/>
    </xf>
    <xf numFmtId="0" fontId="8" fillId="2" borderId="1" xfId="0" applyFont="1" applyFill="1" applyBorder="1">
      <alignment vertical="center"/>
    </xf>
    <xf numFmtId="0" fontId="9" fillId="2" borderId="1" xfId="0" applyFont="1" applyFill="1" applyBorder="1">
      <alignment vertical="center"/>
    </xf>
    <xf numFmtId="0" fontId="10" fillId="2" borderId="1" xfId="0" applyFont="1" applyFill="1" applyBorder="1">
      <alignment vertical="center"/>
    </xf>
    <xf numFmtId="0" fontId="3" fillId="8" borderId="1" xfId="0" applyFont="1" applyFill="1" applyBorder="1">
      <alignment vertical="center"/>
    </xf>
    <xf numFmtId="0" fontId="1" fillId="8" borderId="1" xfId="0" applyFont="1" applyFill="1" applyBorder="1">
      <alignment vertical="center"/>
    </xf>
    <xf numFmtId="0" fontId="3" fillId="2" borderId="2" xfId="0" applyFont="1" applyFill="1" applyBorder="1" applyAlignment="1">
      <alignment horizontal="left" vertical="center"/>
    </xf>
    <xf numFmtId="0" fontId="3" fillId="2" borderId="3" xfId="0" applyFont="1" applyFill="1" applyBorder="1" applyAlignment="1">
      <alignment horizontal="left" vertical="center"/>
    </xf>
    <xf numFmtId="0" fontId="3" fillId="2" borderId="4" xfId="0" applyFont="1" applyFill="1" applyBorder="1" applyAlignment="1">
      <alignment horizontal="left" vertical="center"/>
    </xf>
    <xf numFmtId="0" fontId="3" fillId="2" borderId="2" xfId="0" applyFont="1" applyFill="1" applyBorder="1" applyAlignment="1">
      <alignment horizontal="center" vertical="center"/>
    </xf>
    <xf numFmtId="0" fontId="3" fillId="2" borderId="3" xfId="0" applyFont="1" applyFill="1" applyBorder="1" applyAlignment="1">
      <alignment horizontal="center" vertical="center"/>
    </xf>
    <xf numFmtId="0" fontId="3" fillId="2" borderId="4" xfId="0" applyFont="1" applyFill="1" applyBorder="1" applyAlignment="1">
      <alignment horizontal="center" vertical="center"/>
    </xf>
    <xf numFmtId="0" fontId="3" fillId="2" borderId="6" xfId="0" applyFont="1" applyFill="1" applyBorder="1" applyAlignment="1">
      <alignment horizontal="center" vertical="center"/>
    </xf>
    <xf numFmtId="0" fontId="3" fillId="2" borderId="5" xfId="0" applyFont="1" applyFill="1" applyBorder="1" applyAlignment="1">
      <alignment horizontal="center" vertical="center"/>
    </xf>
    <xf numFmtId="0" fontId="3" fillId="2" borderId="7" xfId="0" applyFont="1" applyFill="1" applyBorder="1" applyAlignment="1">
      <alignment horizontal="center" vertical="center"/>
    </xf>
    <xf numFmtId="0" fontId="3" fillId="2" borderId="8" xfId="0" applyFont="1" applyFill="1" applyBorder="1" applyAlignment="1">
      <alignment horizontal="center"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5ED464-1A13-4749-80AB-B437F99F2097}">
  <sheetPr codeName="Sheet1"/>
  <dimension ref="B2:H7"/>
  <sheetViews>
    <sheetView workbookViewId="0">
      <selection activeCell="F31" sqref="F31"/>
    </sheetView>
  </sheetViews>
  <sheetFormatPr defaultRowHeight="12" x14ac:dyDescent="0.3"/>
  <cols>
    <col min="1" max="1" width="9" style="1"/>
    <col min="2" max="2" width="21.125" style="1" bestFit="1" customWidth="1"/>
    <col min="3" max="3" width="9.5" style="1" bestFit="1" customWidth="1"/>
    <col min="4" max="4" width="21.75" style="1" bestFit="1" customWidth="1"/>
    <col min="5" max="16384" width="9" style="1"/>
  </cols>
  <sheetData>
    <row r="2" spans="2:8" x14ac:dyDescent="0.3">
      <c r="B2" s="27" t="s">
        <v>0</v>
      </c>
      <c r="C2" s="28"/>
      <c r="D2" s="29"/>
      <c r="F2" s="3"/>
      <c r="G2" s="3"/>
      <c r="H2" s="3"/>
    </row>
    <row r="3" spans="2:8" x14ac:dyDescent="0.3">
      <c r="B3" s="30" t="s">
        <v>7</v>
      </c>
      <c r="C3" s="31"/>
      <c r="D3" s="32"/>
    </row>
    <row r="4" spans="2:8" x14ac:dyDescent="0.3">
      <c r="B4" s="2" t="s">
        <v>1</v>
      </c>
      <c r="C4" s="2" t="s">
        <v>3</v>
      </c>
      <c r="D4" s="2" t="s">
        <v>2</v>
      </c>
    </row>
    <row r="5" spans="2:8" x14ac:dyDescent="0.3">
      <c r="B5" s="3" t="s">
        <v>5</v>
      </c>
      <c r="C5" s="3" t="s">
        <v>4</v>
      </c>
      <c r="D5" s="3" t="s">
        <v>6</v>
      </c>
    </row>
    <row r="7" spans="2:8" x14ac:dyDescent="0.3">
      <c r="B7" s="3"/>
      <c r="C7" s="3"/>
      <c r="D7" s="3"/>
    </row>
  </sheetData>
  <mergeCells count="2">
    <mergeCell ref="B2:D2"/>
    <mergeCell ref="B3:D3"/>
  </mergeCells>
  <phoneticPr fontId="2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59E67B-4A91-4F20-9058-A1A986B376C5}">
  <sheetPr codeName="Sheet2"/>
  <dimension ref="A1"/>
  <sheetViews>
    <sheetView workbookViewId="0"/>
  </sheetViews>
  <sheetFormatPr defaultRowHeight="16.5" x14ac:dyDescent="0.3"/>
  <sheetData/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1FCEFF-05EC-4630-8C64-E51EDD727474}">
  <sheetPr codeName="Sheet3"/>
  <dimension ref="A1:AG93"/>
  <sheetViews>
    <sheetView topLeftCell="O1" zoomScaleNormal="100" workbookViewId="0">
      <selection activeCell="K94" sqref="K94"/>
    </sheetView>
  </sheetViews>
  <sheetFormatPr defaultRowHeight="12" x14ac:dyDescent="0.3"/>
  <cols>
    <col min="1" max="1" width="8.25" style="6" bestFit="1" customWidth="1"/>
    <col min="2" max="3" width="30.875" style="6" bestFit="1" customWidth="1"/>
    <col min="4" max="4" width="34.25" style="6" bestFit="1" customWidth="1"/>
    <col min="5" max="5" width="14.875" style="15" bestFit="1" customWidth="1"/>
    <col min="6" max="6" width="8" style="15" bestFit="1" customWidth="1"/>
    <col min="7" max="7" width="8.875" style="6" bestFit="1" customWidth="1"/>
    <col min="8" max="8" width="8.75" style="6" bestFit="1" customWidth="1"/>
    <col min="9" max="9" width="18" style="6" bestFit="1" customWidth="1"/>
    <col min="10" max="10" width="30.875" style="6" bestFit="1" customWidth="1"/>
    <col min="11" max="11" width="9.875" style="6" bestFit="1" customWidth="1"/>
    <col min="12" max="12" width="7.5" style="6" bestFit="1" customWidth="1"/>
    <col min="13" max="13" width="6.875" style="21" bestFit="1" customWidth="1"/>
    <col min="14" max="14" width="6.875" style="6" customWidth="1"/>
    <col min="15" max="17" width="12.5" style="6" bestFit="1" customWidth="1"/>
    <col min="18" max="18" width="10.5" style="6" bestFit="1" customWidth="1"/>
    <col min="19" max="19" width="8.5" style="6" bestFit="1" customWidth="1"/>
    <col min="20" max="20" width="14.375" style="24" bestFit="1" customWidth="1"/>
    <col min="21" max="21" width="10.25" style="24" bestFit="1" customWidth="1"/>
    <col min="22" max="22" width="2.25" style="13" customWidth="1"/>
    <col min="23" max="23" width="12.875" style="4" bestFit="1" customWidth="1"/>
    <col min="24" max="24" width="18" style="4" bestFit="1" customWidth="1"/>
    <col min="25" max="25" width="34.5" style="4" bestFit="1" customWidth="1"/>
    <col min="26" max="27" width="9" style="4"/>
    <col min="28" max="28" width="6" style="4" customWidth="1"/>
    <col min="29" max="29" width="9.5" style="4" bestFit="1" customWidth="1"/>
    <col min="30" max="30" width="9" style="4"/>
    <col min="31" max="31" width="6.25" style="4" customWidth="1"/>
    <col min="32" max="32" width="11.75" style="4" bestFit="1" customWidth="1"/>
    <col min="33" max="33" width="23.5" style="4" bestFit="1" customWidth="1"/>
    <col min="34" max="16384" width="9" style="4"/>
  </cols>
  <sheetData>
    <row r="1" spans="1:33" s="11" customFormat="1" x14ac:dyDescent="0.3">
      <c r="A1" s="2" t="s">
        <v>107</v>
      </c>
      <c r="B1" s="2" t="s">
        <v>85</v>
      </c>
      <c r="C1" s="2" t="s">
        <v>86</v>
      </c>
      <c r="D1" s="2" t="s">
        <v>87</v>
      </c>
      <c r="E1" s="14" t="s">
        <v>89</v>
      </c>
      <c r="F1" s="14" t="s">
        <v>90</v>
      </c>
      <c r="G1" s="2" t="s">
        <v>88</v>
      </c>
      <c r="H1" s="2" t="s">
        <v>94</v>
      </c>
      <c r="I1" s="2" t="s">
        <v>92</v>
      </c>
      <c r="J1" s="2" t="s">
        <v>91</v>
      </c>
      <c r="K1" s="2" t="s">
        <v>93</v>
      </c>
      <c r="L1" s="2" t="s">
        <v>95</v>
      </c>
      <c r="M1" s="20" t="s">
        <v>96</v>
      </c>
      <c r="N1" s="2" t="s">
        <v>621</v>
      </c>
      <c r="O1" s="2" t="s">
        <v>143</v>
      </c>
      <c r="P1" s="2" t="s">
        <v>144</v>
      </c>
      <c r="Q1" s="2" t="s">
        <v>145</v>
      </c>
      <c r="R1" s="2" t="s">
        <v>98</v>
      </c>
      <c r="S1" s="2" t="s">
        <v>99</v>
      </c>
      <c r="T1" s="23" t="s">
        <v>140</v>
      </c>
      <c r="U1" s="23" t="s">
        <v>97</v>
      </c>
      <c r="V1" s="12"/>
      <c r="X1" s="4"/>
      <c r="Y1" s="4"/>
      <c r="Z1" s="4"/>
    </row>
    <row r="2" spans="1:33" x14ac:dyDescent="0.3">
      <c r="A2" s="6">
        <v>101</v>
      </c>
      <c r="B2" s="6" t="s">
        <v>155</v>
      </c>
      <c r="C2" s="6" t="s">
        <v>210</v>
      </c>
      <c r="D2" s="6" t="s">
        <v>237</v>
      </c>
      <c r="E2" s="15" t="s">
        <v>158</v>
      </c>
      <c r="F2" s="15">
        <v>0</v>
      </c>
      <c r="G2" s="6">
        <v>1</v>
      </c>
      <c r="H2" s="6">
        <v>2</v>
      </c>
      <c r="I2" s="6">
        <v>1</v>
      </c>
      <c r="J2" s="6" t="s">
        <v>185</v>
      </c>
      <c r="K2" s="6">
        <v>1</v>
      </c>
      <c r="L2" s="6">
        <v>1</v>
      </c>
      <c r="M2" s="21">
        <f>INDEX('카드 태그 계산기'!C:C,MATCH('02.CardData'!A2,'카드 태그 계산기'!A:A,0))</f>
        <v>32</v>
      </c>
      <c r="N2" s="6">
        <v>0</v>
      </c>
      <c r="O2" s="6">
        <v>0</v>
      </c>
      <c r="P2" s="6">
        <v>0</v>
      </c>
      <c r="Q2" s="6">
        <v>0</v>
      </c>
      <c r="R2" s="22">
        <v>0</v>
      </c>
      <c r="S2" s="22">
        <v>0</v>
      </c>
      <c r="T2" s="24" t="s">
        <v>613</v>
      </c>
      <c r="U2" s="24" t="s">
        <v>604</v>
      </c>
      <c r="X2" s="30" t="s">
        <v>100</v>
      </c>
      <c r="Y2" s="31"/>
      <c r="Z2" s="32"/>
    </row>
    <row r="3" spans="1:33" x14ac:dyDescent="0.3">
      <c r="A3" s="6">
        <v>102</v>
      </c>
      <c r="B3" s="6" t="s">
        <v>156</v>
      </c>
      <c r="C3" s="6" t="s">
        <v>211</v>
      </c>
      <c r="D3" s="6" t="s">
        <v>238</v>
      </c>
      <c r="E3" s="15" t="s">
        <v>159</v>
      </c>
      <c r="F3" s="15">
        <v>0</v>
      </c>
      <c r="G3" s="6">
        <v>1</v>
      </c>
      <c r="H3" s="6">
        <v>2</v>
      </c>
      <c r="I3" s="6">
        <v>1</v>
      </c>
      <c r="J3" s="6" t="s">
        <v>186</v>
      </c>
      <c r="K3" s="6">
        <v>1</v>
      </c>
      <c r="L3" s="6">
        <v>1</v>
      </c>
      <c r="M3" s="21">
        <f>INDEX('카드 태그 계산기'!C:C,MATCH('02.CardData'!A3,'카드 태그 계산기'!A:A,0))</f>
        <v>32</v>
      </c>
      <c r="N3" s="6">
        <v>0</v>
      </c>
      <c r="O3" s="6">
        <v>0</v>
      </c>
      <c r="P3" s="6">
        <v>0</v>
      </c>
      <c r="Q3" s="6">
        <v>0</v>
      </c>
      <c r="R3" s="22">
        <v>0</v>
      </c>
      <c r="S3" s="22">
        <v>0</v>
      </c>
      <c r="T3" s="24" t="s">
        <v>614</v>
      </c>
      <c r="U3" s="24" t="s">
        <v>603</v>
      </c>
      <c r="X3" s="2" t="s">
        <v>101</v>
      </c>
      <c r="Y3" s="2" t="s">
        <v>102</v>
      </c>
      <c r="Z3" s="2" t="s">
        <v>103</v>
      </c>
      <c r="AB3" s="30" t="s">
        <v>88</v>
      </c>
      <c r="AC3" s="33"/>
      <c r="AD3" s="11"/>
      <c r="AE3" s="34" t="s">
        <v>124</v>
      </c>
      <c r="AF3" s="34"/>
      <c r="AG3" s="34"/>
    </row>
    <row r="4" spans="1:33" x14ac:dyDescent="0.3">
      <c r="A4" s="6">
        <v>103</v>
      </c>
      <c r="B4" s="6" t="s">
        <v>740</v>
      </c>
      <c r="C4" s="6" t="s">
        <v>212</v>
      </c>
      <c r="D4" s="6" t="s">
        <v>239</v>
      </c>
      <c r="E4" s="15" t="s">
        <v>160</v>
      </c>
      <c r="F4" s="15">
        <v>0</v>
      </c>
      <c r="G4" s="6">
        <v>1</v>
      </c>
      <c r="H4" s="6">
        <v>2</v>
      </c>
      <c r="I4" s="6">
        <v>2</v>
      </c>
      <c r="J4" s="6" t="s">
        <v>155</v>
      </c>
      <c r="K4" s="6">
        <v>1</v>
      </c>
      <c r="L4" s="6">
        <v>1</v>
      </c>
      <c r="M4" s="21">
        <f>INDEX('카드 태그 계산기'!C:C,MATCH('02.CardData'!A4,'카드 태그 계산기'!A:A,0))</f>
        <v>32</v>
      </c>
      <c r="N4" s="6">
        <v>0</v>
      </c>
      <c r="O4" s="6">
        <v>0</v>
      </c>
      <c r="P4" s="6">
        <v>0</v>
      </c>
      <c r="Q4" s="6">
        <v>0</v>
      </c>
      <c r="R4" s="22">
        <v>0</v>
      </c>
      <c r="S4" s="22">
        <v>0</v>
      </c>
      <c r="T4" s="24" t="s">
        <v>613</v>
      </c>
      <c r="U4" s="24" t="s">
        <v>604</v>
      </c>
      <c r="X4" s="2" t="s">
        <v>107</v>
      </c>
      <c r="Y4" s="6" t="s">
        <v>108</v>
      </c>
      <c r="Z4" s="6" t="s">
        <v>104</v>
      </c>
      <c r="AB4" s="6">
        <v>1</v>
      </c>
      <c r="AC4" s="6" t="s">
        <v>114</v>
      </c>
      <c r="AE4" s="35" t="s">
        <v>92</v>
      </c>
      <c r="AF4" s="36"/>
      <c r="AG4" s="9" t="s">
        <v>91</v>
      </c>
    </row>
    <row r="5" spans="1:33" x14ac:dyDescent="0.3">
      <c r="A5" s="6">
        <v>104</v>
      </c>
      <c r="B5" s="6" t="s">
        <v>739</v>
      </c>
      <c r="C5" s="6" t="s">
        <v>213</v>
      </c>
      <c r="D5" s="6" t="s">
        <v>240</v>
      </c>
      <c r="E5" s="15" t="s">
        <v>161</v>
      </c>
      <c r="F5" s="15">
        <v>0</v>
      </c>
      <c r="G5" s="6">
        <v>1</v>
      </c>
      <c r="H5" s="6">
        <v>2</v>
      </c>
      <c r="I5" s="6">
        <v>2</v>
      </c>
      <c r="J5" s="6" t="s">
        <v>156</v>
      </c>
      <c r="K5" s="6">
        <v>1</v>
      </c>
      <c r="L5" s="6">
        <v>1</v>
      </c>
      <c r="M5" s="21">
        <f>INDEX('카드 태그 계산기'!C:C,MATCH('02.CardData'!A5,'카드 태그 계산기'!A:A,0))</f>
        <v>32</v>
      </c>
      <c r="N5" s="6">
        <v>0</v>
      </c>
      <c r="O5" s="6">
        <v>0</v>
      </c>
      <c r="P5" s="6">
        <v>0</v>
      </c>
      <c r="Q5" s="6">
        <v>0</v>
      </c>
      <c r="R5" s="22">
        <v>0</v>
      </c>
      <c r="S5" s="22">
        <v>0</v>
      </c>
      <c r="T5" s="24" t="s">
        <v>614</v>
      </c>
      <c r="U5" s="24" t="s">
        <v>603</v>
      </c>
      <c r="X5" s="2" t="s">
        <v>85</v>
      </c>
      <c r="Y5" s="6" t="s">
        <v>106</v>
      </c>
      <c r="Z5" s="6" t="s">
        <v>104</v>
      </c>
      <c r="AB5" s="6">
        <v>2</v>
      </c>
      <c r="AC5" s="6" t="s">
        <v>115</v>
      </c>
      <c r="AE5" s="10">
        <v>0</v>
      </c>
      <c r="AF5" s="10" t="s">
        <v>125</v>
      </c>
      <c r="AG5" s="10">
        <v>0</v>
      </c>
    </row>
    <row r="6" spans="1:33" x14ac:dyDescent="0.3">
      <c r="A6" s="6">
        <v>105</v>
      </c>
      <c r="B6" s="6" t="s">
        <v>741</v>
      </c>
      <c r="C6" s="6" t="s">
        <v>214</v>
      </c>
      <c r="D6" s="6" t="s">
        <v>241</v>
      </c>
      <c r="E6" s="15" t="s">
        <v>162</v>
      </c>
      <c r="F6" s="15">
        <v>0</v>
      </c>
      <c r="G6" s="6">
        <v>1</v>
      </c>
      <c r="H6" s="6">
        <v>2</v>
      </c>
      <c r="I6" s="6">
        <v>1</v>
      </c>
      <c r="J6" s="6" t="s">
        <v>188</v>
      </c>
      <c r="K6" s="6">
        <v>1</v>
      </c>
      <c r="L6" s="6">
        <v>1</v>
      </c>
      <c r="M6" s="21">
        <f>INDEX('카드 태그 계산기'!C:C,MATCH('02.CardData'!A6,'카드 태그 계산기'!A:A,0))</f>
        <v>96</v>
      </c>
      <c r="N6" s="6">
        <v>0</v>
      </c>
      <c r="O6" s="6">
        <v>0</v>
      </c>
      <c r="P6" s="6">
        <v>0</v>
      </c>
      <c r="Q6" s="6">
        <v>0</v>
      </c>
      <c r="R6" s="22">
        <v>0</v>
      </c>
      <c r="S6" s="22">
        <v>0</v>
      </c>
      <c r="T6" s="24" t="s">
        <v>613</v>
      </c>
      <c r="U6" s="24" t="s">
        <v>605</v>
      </c>
      <c r="X6" s="2" t="s">
        <v>86</v>
      </c>
      <c r="Y6" s="6" t="s">
        <v>105</v>
      </c>
      <c r="Z6" s="6" t="s">
        <v>104</v>
      </c>
      <c r="AE6" s="10">
        <v>1</v>
      </c>
      <c r="AF6" s="10" t="s">
        <v>127</v>
      </c>
      <c r="AG6" s="10" t="s">
        <v>128</v>
      </c>
    </row>
    <row r="7" spans="1:33" x14ac:dyDescent="0.3">
      <c r="A7" s="6">
        <v>106</v>
      </c>
      <c r="B7" s="6" t="s">
        <v>742</v>
      </c>
      <c r="C7" s="6" t="s">
        <v>215</v>
      </c>
      <c r="D7" s="6" t="s">
        <v>242</v>
      </c>
      <c r="E7" s="15" t="s">
        <v>163</v>
      </c>
      <c r="F7" s="15">
        <v>0</v>
      </c>
      <c r="G7" s="6">
        <v>1</v>
      </c>
      <c r="H7" s="6">
        <v>2</v>
      </c>
      <c r="I7" s="6">
        <v>2</v>
      </c>
      <c r="J7" s="6" t="s">
        <v>187</v>
      </c>
      <c r="K7" s="6">
        <v>1</v>
      </c>
      <c r="L7" s="6">
        <v>1</v>
      </c>
      <c r="M7" s="21">
        <f>INDEX('카드 태그 계산기'!C:C,MATCH('02.CardData'!A7,'카드 태그 계산기'!A:A,0))</f>
        <v>96</v>
      </c>
      <c r="N7" s="6">
        <v>0</v>
      </c>
      <c r="O7" s="6">
        <v>0</v>
      </c>
      <c r="P7" s="6">
        <v>0</v>
      </c>
      <c r="Q7" s="6">
        <v>0</v>
      </c>
      <c r="R7" s="22">
        <v>0</v>
      </c>
      <c r="S7" s="22">
        <v>0</v>
      </c>
      <c r="T7" s="24" t="s">
        <v>613</v>
      </c>
      <c r="U7" s="24" t="s">
        <v>605</v>
      </c>
      <c r="X7" s="2" t="s">
        <v>87</v>
      </c>
      <c r="Y7" s="6" t="s">
        <v>109</v>
      </c>
      <c r="Z7" s="6" t="s">
        <v>104</v>
      </c>
      <c r="AB7" s="30" t="s">
        <v>118</v>
      </c>
      <c r="AC7" s="33"/>
      <c r="AE7" s="10">
        <v>2</v>
      </c>
      <c r="AF7" s="10" t="s">
        <v>126</v>
      </c>
      <c r="AG7" s="10" t="s">
        <v>129</v>
      </c>
    </row>
    <row r="8" spans="1:33" x14ac:dyDescent="0.3">
      <c r="A8" s="6">
        <v>107</v>
      </c>
      <c r="B8" s="6" t="s">
        <v>743</v>
      </c>
      <c r="C8" s="6" t="s">
        <v>216</v>
      </c>
      <c r="D8" s="6" t="s">
        <v>243</v>
      </c>
      <c r="E8" s="15" t="s">
        <v>157</v>
      </c>
      <c r="F8" s="15">
        <v>0</v>
      </c>
      <c r="G8" s="6">
        <v>1</v>
      </c>
      <c r="H8" s="6">
        <v>2</v>
      </c>
      <c r="I8" s="6">
        <v>1</v>
      </c>
      <c r="J8" s="6" t="s">
        <v>190</v>
      </c>
      <c r="K8" s="6">
        <v>1</v>
      </c>
      <c r="L8" s="6">
        <v>1</v>
      </c>
      <c r="M8" s="21">
        <f>INDEX('카드 태그 계산기'!C:C,MATCH('02.CardData'!A8,'카드 태그 계산기'!A:A,0))</f>
        <v>32</v>
      </c>
      <c r="N8" s="6">
        <v>0</v>
      </c>
      <c r="O8" s="6">
        <v>0</v>
      </c>
      <c r="P8" s="6">
        <v>0</v>
      </c>
      <c r="Q8" s="6">
        <v>0</v>
      </c>
      <c r="R8" s="22">
        <v>0</v>
      </c>
      <c r="S8" s="22">
        <v>0</v>
      </c>
      <c r="T8" s="24" t="s">
        <v>615</v>
      </c>
      <c r="U8" s="24" t="s">
        <v>606</v>
      </c>
      <c r="X8" s="2" t="s">
        <v>89</v>
      </c>
      <c r="Y8" s="6" t="s">
        <v>110</v>
      </c>
      <c r="Z8" s="6" t="s">
        <v>112</v>
      </c>
      <c r="AB8" s="6">
        <v>1</v>
      </c>
      <c r="AC8" s="6" t="s">
        <v>119</v>
      </c>
    </row>
    <row r="9" spans="1:33" x14ac:dyDescent="0.3">
      <c r="A9" s="6">
        <v>108</v>
      </c>
      <c r="B9" s="6" t="s">
        <v>190</v>
      </c>
      <c r="C9" s="6" t="s">
        <v>217</v>
      </c>
      <c r="D9" s="6" t="s">
        <v>244</v>
      </c>
      <c r="E9" s="15" t="s">
        <v>164</v>
      </c>
      <c r="F9" s="15">
        <v>0</v>
      </c>
      <c r="G9" s="6">
        <v>1</v>
      </c>
      <c r="H9" s="6">
        <v>2</v>
      </c>
      <c r="I9" s="6">
        <v>2</v>
      </c>
      <c r="J9" s="6" t="s">
        <v>189</v>
      </c>
      <c r="K9" s="6">
        <v>1</v>
      </c>
      <c r="L9" s="6">
        <v>1</v>
      </c>
      <c r="M9" s="21">
        <f>INDEX('카드 태그 계산기'!C:C,MATCH('02.CardData'!A9,'카드 태그 계산기'!A:A,0))</f>
        <v>32</v>
      </c>
      <c r="N9" s="6">
        <v>0</v>
      </c>
      <c r="O9" s="6">
        <v>0</v>
      </c>
      <c r="P9" s="6">
        <v>0</v>
      </c>
      <c r="Q9" s="6">
        <v>0</v>
      </c>
      <c r="R9" s="22">
        <v>0</v>
      </c>
      <c r="S9" s="22">
        <v>0</v>
      </c>
      <c r="T9" s="24" t="s">
        <v>615</v>
      </c>
      <c r="U9" s="24" t="s">
        <v>606</v>
      </c>
      <c r="X9" s="2" t="s">
        <v>90</v>
      </c>
      <c r="Y9" s="6" t="s">
        <v>111</v>
      </c>
      <c r="Z9" s="6" t="s">
        <v>112</v>
      </c>
      <c r="AB9" s="6">
        <v>2</v>
      </c>
      <c r="AC9" s="6" t="s">
        <v>120</v>
      </c>
      <c r="AE9" s="30" t="s">
        <v>95</v>
      </c>
      <c r="AF9" s="33"/>
    </row>
    <row r="10" spans="1:33" x14ac:dyDescent="0.3">
      <c r="A10" s="6">
        <v>109</v>
      </c>
      <c r="B10" s="6" t="s">
        <v>744</v>
      </c>
      <c r="C10" s="6" t="s">
        <v>218</v>
      </c>
      <c r="D10" s="6" t="s">
        <v>245</v>
      </c>
      <c r="E10" s="15" t="s">
        <v>165</v>
      </c>
      <c r="F10" s="15">
        <v>0</v>
      </c>
      <c r="G10" s="6">
        <v>1</v>
      </c>
      <c r="H10" s="6">
        <v>2</v>
      </c>
      <c r="I10" s="6">
        <v>1</v>
      </c>
      <c r="J10" s="6" t="s">
        <v>192</v>
      </c>
      <c r="K10" s="6">
        <v>2</v>
      </c>
      <c r="L10" s="6">
        <v>1</v>
      </c>
      <c r="M10" s="21">
        <f>INDEX('카드 태그 계산기'!C:C,MATCH('02.CardData'!A10,'카드 태그 계산기'!A:A,0))</f>
        <v>32</v>
      </c>
      <c r="N10" s="6">
        <v>0</v>
      </c>
      <c r="O10" s="6">
        <v>0</v>
      </c>
      <c r="P10" s="6">
        <v>0</v>
      </c>
      <c r="Q10" s="6">
        <v>0</v>
      </c>
      <c r="R10" s="22">
        <v>0</v>
      </c>
      <c r="S10" s="22">
        <v>0</v>
      </c>
      <c r="T10" s="24" t="s">
        <v>616</v>
      </c>
      <c r="U10" s="24">
        <v>0</v>
      </c>
      <c r="X10" s="2" t="s">
        <v>88</v>
      </c>
      <c r="Y10" s="6" t="s">
        <v>113</v>
      </c>
      <c r="Z10" s="6" t="s">
        <v>116</v>
      </c>
      <c r="AB10" s="6">
        <v>3</v>
      </c>
      <c r="AC10" s="6" t="s">
        <v>121</v>
      </c>
      <c r="AE10" s="6">
        <v>1</v>
      </c>
      <c r="AF10" s="6" t="s">
        <v>120</v>
      </c>
    </row>
    <row r="11" spans="1:33" x14ac:dyDescent="0.3">
      <c r="A11" s="6">
        <v>110</v>
      </c>
      <c r="B11" s="6" t="s">
        <v>745</v>
      </c>
      <c r="C11" s="6" t="s">
        <v>219</v>
      </c>
      <c r="D11" s="6" t="s">
        <v>246</v>
      </c>
      <c r="E11" s="15" t="s">
        <v>166</v>
      </c>
      <c r="F11" s="15">
        <v>0</v>
      </c>
      <c r="G11" s="6">
        <v>1</v>
      </c>
      <c r="H11" s="6">
        <v>2</v>
      </c>
      <c r="I11" s="6">
        <v>2</v>
      </c>
      <c r="J11" s="6" t="s">
        <v>191</v>
      </c>
      <c r="K11" s="6">
        <v>2</v>
      </c>
      <c r="L11" s="6">
        <v>1</v>
      </c>
      <c r="M11" s="21">
        <f>INDEX('카드 태그 계산기'!C:C,MATCH('02.CardData'!A11,'카드 태그 계산기'!A:A,0))</f>
        <v>32</v>
      </c>
      <c r="N11" s="6">
        <v>0</v>
      </c>
      <c r="O11" s="6">
        <v>0</v>
      </c>
      <c r="P11" s="6">
        <v>0</v>
      </c>
      <c r="Q11" s="6">
        <v>0</v>
      </c>
      <c r="R11" s="22">
        <v>0</v>
      </c>
      <c r="S11" s="22">
        <v>0</v>
      </c>
      <c r="T11" s="24" t="s">
        <v>616</v>
      </c>
      <c r="U11" s="24">
        <v>0</v>
      </c>
      <c r="X11" s="2" t="s">
        <v>94</v>
      </c>
      <c r="Y11" s="6" t="s">
        <v>117</v>
      </c>
      <c r="Z11" s="6" t="s">
        <v>116</v>
      </c>
      <c r="AE11" s="6">
        <v>2</v>
      </c>
      <c r="AF11" s="6" t="s">
        <v>121</v>
      </c>
    </row>
    <row r="12" spans="1:33" x14ac:dyDescent="0.3">
      <c r="A12" s="6">
        <v>111</v>
      </c>
      <c r="B12" s="6" t="s">
        <v>193</v>
      </c>
      <c r="C12" s="6" t="s">
        <v>220</v>
      </c>
      <c r="D12" s="6" t="s">
        <v>247</v>
      </c>
      <c r="E12" s="15" t="s">
        <v>167</v>
      </c>
      <c r="F12" s="15">
        <v>0</v>
      </c>
      <c r="G12" s="6">
        <v>1</v>
      </c>
      <c r="H12" s="6">
        <v>2</v>
      </c>
      <c r="I12" s="6">
        <v>1</v>
      </c>
      <c r="J12" s="6" t="s">
        <v>194</v>
      </c>
      <c r="K12" s="6">
        <v>2</v>
      </c>
      <c r="L12" s="6">
        <v>1</v>
      </c>
      <c r="M12" s="21">
        <f>INDEX('카드 태그 계산기'!C:C,MATCH('02.CardData'!A12,'카드 태그 계산기'!A:A,0))</f>
        <v>32</v>
      </c>
      <c r="N12" s="6">
        <v>0</v>
      </c>
      <c r="O12" s="6">
        <v>0</v>
      </c>
      <c r="P12" s="6">
        <v>0</v>
      </c>
      <c r="Q12" s="6">
        <v>0</v>
      </c>
      <c r="R12" s="22">
        <v>0</v>
      </c>
      <c r="S12" s="22">
        <v>0</v>
      </c>
      <c r="T12" s="24" t="s">
        <v>617</v>
      </c>
      <c r="U12" s="24" t="s">
        <v>607</v>
      </c>
      <c r="X12" s="2" t="s">
        <v>92</v>
      </c>
      <c r="Y12" s="6" t="s">
        <v>122</v>
      </c>
      <c r="Z12" s="6" t="s">
        <v>116</v>
      </c>
      <c r="AB12" s="30" t="s">
        <v>93</v>
      </c>
      <c r="AC12" s="33"/>
      <c r="AE12" s="2">
        <v>3</v>
      </c>
      <c r="AF12" s="2" t="s">
        <v>119</v>
      </c>
    </row>
    <row r="13" spans="1:33" x14ac:dyDescent="0.3">
      <c r="A13" s="6">
        <v>112</v>
      </c>
      <c r="B13" s="6" t="s">
        <v>194</v>
      </c>
      <c r="C13" s="6" t="s">
        <v>221</v>
      </c>
      <c r="D13" s="6" t="s">
        <v>248</v>
      </c>
      <c r="E13" s="15" t="s">
        <v>168</v>
      </c>
      <c r="F13" s="15">
        <v>0</v>
      </c>
      <c r="G13" s="6">
        <v>1</v>
      </c>
      <c r="H13" s="6">
        <v>2</v>
      </c>
      <c r="I13" s="6">
        <v>2</v>
      </c>
      <c r="J13" s="6" t="s">
        <v>193</v>
      </c>
      <c r="K13" s="6">
        <v>2</v>
      </c>
      <c r="L13" s="6">
        <v>1</v>
      </c>
      <c r="M13" s="21">
        <f>INDEX('카드 태그 계산기'!C:C,MATCH('02.CardData'!A13,'카드 태그 계산기'!A:A,0))</f>
        <v>32</v>
      </c>
      <c r="N13" s="6">
        <v>0</v>
      </c>
      <c r="O13" s="6">
        <v>0</v>
      </c>
      <c r="P13" s="6">
        <v>0</v>
      </c>
      <c r="Q13" s="6">
        <v>0</v>
      </c>
      <c r="R13" s="22">
        <v>0</v>
      </c>
      <c r="S13" s="22">
        <v>0</v>
      </c>
      <c r="T13" s="24" t="s">
        <v>617</v>
      </c>
      <c r="U13" s="24" t="s">
        <v>607</v>
      </c>
      <c r="X13" s="2" t="s">
        <v>91</v>
      </c>
      <c r="Y13" s="6" t="s">
        <v>123</v>
      </c>
      <c r="Z13" s="6" t="s">
        <v>104</v>
      </c>
      <c r="AB13" s="6">
        <v>1</v>
      </c>
      <c r="AC13" s="6" t="s">
        <v>131</v>
      </c>
    </row>
    <row r="14" spans="1:33" x14ac:dyDescent="0.3">
      <c r="A14" s="6">
        <v>113</v>
      </c>
      <c r="B14" s="6" t="s">
        <v>195</v>
      </c>
      <c r="C14" s="6" t="s">
        <v>222</v>
      </c>
      <c r="D14" s="6" t="s">
        <v>249</v>
      </c>
      <c r="E14" s="15" t="s">
        <v>169</v>
      </c>
      <c r="F14" s="15">
        <v>0</v>
      </c>
      <c r="G14" s="6">
        <v>1</v>
      </c>
      <c r="H14" s="6">
        <v>2</v>
      </c>
      <c r="I14" s="6">
        <v>1</v>
      </c>
      <c r="J14" s="6" t="s">
        <v>196</v>
      </c>
      <c r="K14" s="6">
        <v>2</v>
      </c>
      <c r="L14" s="6">
        <v>1</v>
      </c>
      <c r="M14" s="21">
        <f>INDEX('카드 태그 계산기'!C:C,MATCH('02.CardData'!A14,'카드 태그 계산기'!A:A,0))</f>
        <v>32</v>
      </c>
      <c r="N14" s="6">
        <v>0</v>
      </c>
      <c r="O14" s="6">
        <v>101</v>
      </c>
      <c r="P14" s="6">
        <v>0</v>
      </c>
      <c r="Q14" s="6">
        <v>0</v>
      </c>
      <c r="R14" s="22">
        <v>0</v>
      </c>
      <c r="S14" s="22">
        <v>0</v>
      </c>
      <c r="T14" s="24" t="s">
        <v>613</v>
      </c>
      <c r="U14" s="24" t="s">
        <v>608</v>
      </c>
      <c r="X14" s="2" t="s">
        <v>93</v>
      </c>
      <c r="Y14" s="6" t="s">
        <v>130</v>
      </c>
      <c r="Z14" s="6" t="s">
        <v>116</v>
      </c>
      <c r="AB14" s="6">
        <v>2</v>
      </c>
      <c r="AC14" s="6" t="s">
        <v>132</v>
      </c>
      <c r="AE14" s="30" t="s">
        <v>96</v>
      </c>
      <c r="AF14" s="33"/>
    </row>
    <row r="15" spans="1:33" x14ac:dyDescent="0.3">
      <c r="A15" s="6">
        <v>114</v>
      </c>
      <c r="B15" s="6" t="s">
        <v>196</v>
      </c>
      <c r="C15" s="6" t="s">
        <v>223</v>
      </c>
      <c r="D15" s="6" t="s">
        <v>250</v>
      </c>
      <c r="E15" s="15" t="s">
        <v>170</v>
      </c>
      <c r="F15" s="15">
        <v>0</v>
      </c>
      <c r="G15" s="6">
        <v>1</v>
      </c>
      <c r="H15" s="6">
        <v>2</v>
      </c>
      <c r="I15" s="6">
        <v>2</v>
      </c>
      <c r="J15" s="6" t="s">
        <v>195</v>
      </c>
      <c r="K15" s="6">
        <v>2</v>
      </c>
      <c r="L15" s="6">
        <v>1</v>
      </c>
      <c r="M15" s="21">
        <f>INDEX('카드 태그 계산기'!C:C,MATCH('02.CardData'!A15,'카드 태그 계산기'!A:A,0))</f>
        <v>32</v>
      </c>
      <c r="N15" s="6">
        <v>0</v>
      </c>
      <c r="O15" s="6">
        <v>102</v>
      </c>
      <c r="P15" s="6">
        <v>0</v>
      </c>
      <c r="Q15" s="6">
        <v>0</v>
      </c>
      <c r="R15" s="22">
        <v>0</v>
      </c>
      <c r="S15" s="22">
        <v>0</v>
      </c>
      <c r="T15" s="24" t="s">
        <v>644</v>
      </c>
      <c r="U15" s="24" t="s">
        <v>608</v>
      </c>
      <c r="X15" s="2" t="s">
        <v>95</v>
      </c>
      <c r="Y15" s="6" t="s">
        <v>135</v>
      </c>
      <c r="Z15" s="6" t="s">
        <v>134</v>
      </c>
      <c r="AB15" s="6">
        <v>3</v>
      </c>
      <c r="AC15" s="6" t="s">
        <v>133</v>
      </c>
      <c r="AE15" s="6">
        <v>1</v>
      </c>
      <c r="AF15" s="6" t="s">
        <v>576</v>
      </c>
    </row>
    <row r="16" spans="1:33" x14ac:dyDescent="0.3">
      <c r="A16" s="6">
        <v>115</v>
      </c>
      <c r="B16" s="6" t="s">
        <v>197</v>
      </c>
      <c r="C16" s="6" t="s">
        <v>224</v>
      </c>
      <c r="D16" s="6" t="s">
        <v>251</v>
      </c>
      <c r="E16" s="15" t="s">
        <v>171</v>
      </c>
      <c r="F16" s="15">
        <v>0</v>
      </c>
      <c r="G16" s="6">
        <v>1</v>
      </c>
      <c r="H16" s="6">
        <v>2</v>
      </c>
      <c r="I16" s="6">
        <v>1</v>
      </c>
      <c r="J16" s="6" t="s">
        <v>198</v>
      </c>
      <c r="K16" s="6">
        <v>2</v>
      </c>
      <c r="L16" s="6">
        <v>1</v>
      </c>
      <c r="M16" s="21">
        <f>INDEX('카드 태그 계산기'!C:C,MATCH('02.CardData'!A16,'카드 태그 계산기'!A:A,0))</f>
        <v>32</v>
      </c>
      <c r="N16" s="6">
        <v>0</v>
      </c>
      <c r="O16" s="6">
        <v>0</v>
      </c>
      <c r="P16" s="6">
        <v>0</v>
      </c>
      <c r="Q16" s="6">
        <v>0</v>
      </c>
      <c r="R16" s="22">
        <v>0</v>
      </c>
      <c r="S16" s="22">
        <v>0</v>
      </c>
      <c r="T16" s="24" t="s">
        <v>618</v>
      </c>
      <c r="U16" s="24" t="s">
        <v>609</v>
      </c>
      <c r="X16" s="2" t="s">
        <v>96</v>
      </c>
      <c r="Y16" s="6" t="s">
        <v>623</v>
      </c>
      <c r="Z16" s="6" t="s">
        <v>134</v>
      </c>
      <c r="AE16" s="6">
        <v>2</v>
      </c>
      <c r="AF16" s="6"/>
    </row>
    <row r="17" spans="1:32" x14ac:dyDescent="0.3">
      <c r="A17" s="6">
        <v>116</v>
      </c>
      <c r="B17" s="6" t="s">
        <v>198</v>
      </c>
      <c r="C17" s="6" t="s">
        <v>225</v>
      </c>
      <c r="D17" s="6" t="s">
        <v>252</v>
      </c>
      <c r="E17" s="15" t="s">
        <v>172</v>
      </c>
      <c r="F17" s="15">
        <v>0</v>
      </c>
      <c r="G17" s="6">
        <v>1</v>
      </c>
      <c r="H17" s="6">
        <v>2</v>
      </c>
      <c r="I17" s="6">
        <v>2</v>
      </c>
      <c r="J17" s="6" t="s">
        <v>197</v>
      </c>
      <c r="K17" s="6">
        <v>2</v>
      </c>
      <c r="L17" s="6">
        <v>1</v>
      </c>
      <c r="M17" s="21">
        <f>INDEX('카드 태그 계산기'!C:C,MATCH('02.CardData'!A17,'카드 태그 계산기'!A:A,0))</f>
        <v>32</v>
      </c>
      <c r="N17" s="6">
        <v>0</v>
      </c>
      <c r="O17" s="6">
        <v>0</v>
      </c>
      <c r="P17" s="6">
        <v>0</v>
      </c>
      <c r="Q17" s="6">
        <v>0</v>
      </c>
      <c r="R17" s="22">
        <v>0</v>
      </c>
      <c r="S17" s="22">
        <v>0</v>
      </c>
      <c r="T17" s="24" t="s">
        <v>618</v>
      </c>
      <c r="U17" s="24" t="s">
        <v>609</v>
      </c>
      <c r="X17" s="2" t="s">
        <v>621</v>
      </c>
      <c r="Y17" s="6" t="s">
        <v>622</v>
      </c>
      <c r="Z17" s="6" t="s">
        <v>138</v>
      </c>
      <c r="AE17" s="6">
        <v>4</v>
      </c>
      <c r="AF17" s="6" t="s">
        <v>360</v>
      </c>
    </row>
    <row r="18" spans="1:32" x14ac:dyDescent="0.3">
      <c r="A18" s="6">
        <v>117</v>
      </c>
      <c r="B18" s="6" t="s">
        <v>199</v>
      </c>
      <c r="C18" s="6" t="s">
        <v>226</v>
      </c>
      <c r="D18" s="6" t="s">
        <v>253</v>
      </c>
      <c r="E18" s="15" t="s">
        <v>173</v>
      </c>
      <c r="F18" s="15">
        <v>0</v>
      </c>
      <c r="G18" s="6">
        <v>1</v>
      </c>
      <c r="H18" s="6">
        <v>2</v>
      </c>
      <c r="I18" s="6">
        <v>1</v>
      </c>
      <c r="J18" s="6" t="s">
        <v>200</v>
      </c>
      <c r="K18" s="6">
        <v>2</v>
      </c>
      <c r="L18" s="6">
        <v>1</v>
      </c>
      <c r="M18" s="21">
        <f>INDEX('카드 태그 계산기'!C:C,MATCH('02.CardData'!A18,'카드 태그 계산기'!A:A,0))</f>
        <v>32</v>
      </c>
      <c r="N18" s="6">
        <v>0</v>
      </c>
      <c r="O18" s="6">
        <v>0</v>
      </c>
      <c r="P18" s="6">
        <v>0</v>
      </c>
      <c r="Q18" s="6">
        <v>0</v>
      </c>
      <c r="R18" s="22">
        <v>0</v>
      </c>
      <c r="S18" s="22">
        <v>0</v>
      </c>
      <c r="T18" s="24" t="s">
        <v>618</v>
      </c>
      <c r="U18" s="24" t="s">
        <v>610</v>
      </c>
      <c r="X18" s="2" t="s">
        <v>143</v>
      </c>
      <c r="Y18" s="6" t="s">
        <v>624</v>
      </c>
      <c r="Z18" s="6" t="s">
        <v>104</v>
      </c>
      <c r="AE18" s="6">
        <v>8</v>
      </c>
      <c r="AF18" s="6" t="s">
        <v>361</v>
      </c>
    </row>
    <row r="19" spans="1:32" x14ac:dyDescent="0.3">
      <c r="A19" s="6">
        <v>118</v>
      </c>
      <c r="B19" s="6" t="s">
        <v>200</v>
      </c>
      <c r="C19" s="6" t="s">
        <v>227</v>
      </c>
      <c r="D19" s="6" t="s">
        <v>254</v>
      </c>
      <c r="E19" s="15" t="s">
        <v>174</v>
      </c>
      <c r="F19" s="15">
        <v>0</v>
      </c>
      <c r="G19" s="6">
        <v>1</v>
      </c>
      <c r="H19" s="6">
        <v>2</v>
      </c>
      <c r="I19" s="6">
        <v>2</v>
      </c>
      <c r="J19" s="6" t="s">
        <v>199</v>
      </c>
      <c r="K19" s="6">
        <v>2</v>
      </c>
      <c r="L19" s="6">
        <v>1</v>
      </c>
      <c r="M19" s="21">
        <f>INDEX('카드 태그 계산기'!C:C,MATCH('02.CardData'!A19,'카드 태그 계산기'!A:A,0))</f>
        <v>32</v>
      </c>
      <c r="N19" s="6">
        <v>0</v>
      </c>
      <c r="O19" s="6">
        <v>0</v>
      </c>
      <c r="P19" s="6">
        <v>0</v>
      </c>
      <c r="Q19" s="6">
        <v>0</v>
      </c>
      <c r="R19" s="22">
        <v>0</v>
      </c>
      <c r="S19" s="22">
        <v>0</v>
      </c>
      <c r="T19" s="24" t="s">
        <v>618</v>
      </c>
      <c r="U19" s="24" t="s">
        <v>610</v>
      </c>
      <c r="X19" s="2" t="s">
        <v>144</v>
      </c>
      <c r="Y19" s="6" t="s">
        <v>624</v>
      </c>
      <c r="Z19" s="6" t="s">
        <v>104</v>
      </c>
      <c r="AE19" s="6">
        <v>16</v>
      </c>
      <c r="AF19" s="6" t="s">
        <v>362</v>
      </c>
    </row>
    <row r="20" spans="1:32" x14ac:dyDescent="0.3">
      <c r="A20" s="6">
        <v>119</v>
      </c>
      <c r="B20" s="6" t="s">
        <v>201</v>
      </c>
      <c r="C20" s="6" t="s">
        <v>228</v>
      </c>
      <c r="D20" s="6" t="s">
        <v>255</v>
      </c>
      <c r="E20" s="15" t="s">
        <v>175</v>
      </c>
      <c r="F20" s="15">
        <v>0</v>
      </c>
      <c r="G20" s="6">
        <v>1</v>
      </c>
      <c r="H20" s="6">
        <v>2</v>
      </c>
      <c r="I20" s="6">
        <v>1</v>
      </c>
      <c r="J20" s="6" t="s">
        <v>202</v>
      </c>
      <c r="K20" s="6">
        <v>2</v>
      </c>
      <c r="L20" s="6">
        <v>1</v>
      </c>
      <c r="M20" s="21">
        <f>INDEX('카드 태그 계산기'!C:C,MATCH('02.CardData'!A20,'카드 태그 계산기'!A:A,0))</f>
        <v>96</v>
      </c>
      <c r="N20" s="6">
        <v>0</v>
      </c>
      <c r="O20" s="6">
        <v>0</v>
      </c>
      <c r="P20" s="6">
        <v>0</v>
      </c>
      <c r="Q20" s="6">
        <v>0</v>
      </c>
      <c r="R20" s="22">
        <v>0</v>
      </c>
      <c r="S20" s="22">
        <v>0</v>
      </c>
      <c r="T20" s="24" t="s">
        <v>614</v>
      </c>
      <c r="U20" s="24" t="s">
        <v>611</v>
      </c>
      <c r="X20" s="2" t="s">
        <v>145</v>
      </c>
      <c r="Y20" s="6" t="s">
        <v>624</v>
      </c>
      <c r="Z20" s="6" t="s">
        <v>104</v>
      </c>
      <c r="AE20" s="6">
        <v>32</v>
      </c>
      <c r="AF20" s="6" t="s">
        <v>289</v>
      </c>
    </row>
    <row r="21" spans="1:32" x14ac:dyDescent="0.3">
      <c r="A21" s="6">
        <v>120</v>
      </c>
      <c r="B21" s="6" t="s">
        <v>202</v>
      </c>
      <c r="C21" s="6" t="s">
        <v>229</v>
      </c>
      <c r="D21" s="6" t="s">
        <v>256</v>
      </c>
      <c r="E21" s="15" t="s">
        <v>176</v>
      </c>
      <c r="F21" s="15">
        <v>0</v>
      </c>
      <c r="G21" s="6">
        <v>1</v>
      </c>
      <c r="H21" s="6">
        <v>2</v>
      </c>
      <c r="I21" s="6">
        <v>2</v>
      </c>
      <c r="J21" s="6" t="s">
        <v>201</v>
      </c>
      <c r="K21" s="6">
        <v>2</v>
      </c>
      <c r="L21" s="6">
        <v>1</v>
      </c>
      <c r="M21" s="21">
        <f>INDEX('카드 태그 계산기'!C:C,MATCH('02.CardData'!A21,'카드 태그 계산기'!A:A,0))</f>
        <v>96</v>
      </c>
      <c r="N21" s="6">
        <v>0</v>
      </c>
      <c r="O21" s="6">
        <v>0</v>
      </c>
      <c r="P21" s="6">
        <v>0</v>
      </c>
      <c r="Q21" s="6">
        <v>0</v>
      </c>
      <c r="R21" s="22">
        <v>0</v>
      </c>
      <c r="S21" s="22">
        <v>0</v>
      </c>
      <c r="T21" s="24" t="s">
        <v>614</v>
      </c>
      <c r="U21" s="24" t="s">
        <v>611</v>
      </c>
      <c r="X21" s="2" t="s">
        <v>98</v>
      </c>
      <c r="Y21" s="6" t="s">
        <v>137</v>
      </c>
      <c r="Z21" s="6" t="s">
        <v>104</v>
      </c>
      <c r="AE21" s="6">
        <v>64</v>
      </c>
      <c r="AF21" s="6" t="s">
        <v>291</v>
      </c>
    </row>
    <row r="22" spans="1:32" x14ac:dyDescent="0.3">
      <c r="A22" s="6">
        <v>121</v>
      </c>
      <c r="B22" s="6" t="s">
        <v>746</v>
      </c>
      <c r="C22" s="6" t="s">
        <v>230</v>
      </c>
      <c r="D22" s="6" t="s">
        <v>257</v>
      </c>
      <c r="E22" s="15" t="s">
        <v>177</v>
      </c>
      <c r="F22" s="15">
        <v>0</v>
      </c>
      <c r="G22" s="6">
        <v>1</v>
      </c>
      <c r="H22" s="6">
        <v>2</v>
      </c>
      <c r="I22" s="6">
        <v>1</v>
      </c>
      <c r="J22" s="6" t="s">
        <v>272</v>
      </c>
      <c r="K22" s="6">
        <v>2</v>
      </c>
      <c r="L22" s="6">
        <v>1</v>
      </c>
      <c r="M22" s="21">
        <f>INDEX('카드 태그 계산기'!C:C,MATCH('02.CardData'!A22,'카드 태그 계산기'!A:A,0))</f>
        <v>32</v>
      </c>
      <c r="N22" s="6">
        <v>0</v>
      </c>
      <c r="O22" s="6">
        <v>0</v>
      </c>
      <c r="P22" s="6">
        <v>0</v>
      </c>
      <c r="Q22" s="6">
        <v>0</v>
      </c>
      <c r="R22" s="22">
        <v>0</v>
      </c>
      <c r="S22" s="22">
        <v>0</v>
      </c>
      <c r="T22" s="24" t="s">
        <v>619</v>
      </c>
      <c r="U22" s="24" t="s">
        <v>612</v>
      </c>
      <c r="X22" s="2" t="s">
        <v>99</v>
      </c>
      <c r="Y22" s="6" t="s">
        <v>136</v>
      </c>
      <c r="Z22" s="6" t="s">
        <v>138</v>
      </c>
      <c r="AE22" s="6">
        <v>128</v>
      </c>
      <c r="AF22" s="6" t="s">
        <v>293</v>
      </c>
    </row>
    <row r="23" spans="1:32" x14ac:dyDescent="0.3">
      <c r="A23" s="6">
        <v>122</v>
      </c>
      <c r="B23" s="6" t="s">
        <v>747</v>
      </c>
      <c r="C23" s="6" t="s">
        <v>231</v>
      </c>
      <c r="D23" s="6" t="s">
        <v>258</v>
      </c>
      <c r="E23" s="15" t="s">
        <v>178</v>
      </c>
      <c r="F23" s="15">
        <v>0</v>
      </c>
      <c r="G23" s="6">
        <v>1</v>
      </c>
      <c r="H23" s="6">
        <v>2</v>
      </c>
      <c r="I23" s="6">
        <v>2</v>
      </c>
      <c r="J23" s="6" t="s">
        <v>203</v>
      </c>
      <c r="K23" s="6">
        <v>2</v>
      </c>
      <c r="L23" s="6">
        <v>1</v>
      </c>
      <c r="M23" s="21">
        <f>INDEX('카드 태그 계산기'!C:C,MATCH('02.CardData'!A23,'카드 태그 계산기'!A:A,0))</f>
        <v>32</v>
      </c>
      <c r="N23" s="6">
        <v>0</v>
      </c>
      <c r="O23" s="6">
        <v>0</v>
      </c>
      <c r="P23" s="6">
        <v>0</v>
      </c>
      <c r="Q23" s="6">
        <v>0</v>
      </c>
      <c r="R23" s="22">
        <v>0</v>
      </c>
      <c r="S23" s="22">
        <v>0</v>
      </c>
      <c r="T23" s="24" t="s">
        <v>619</v>
      </c>
      <c r="U23" s="24" t="s">
        <v>612</v>
      </c>
      <c r="X23" s="2" t="s">
        <v>141</v>
      </c>
      <c r="Y23" s="6" t="s">
        <v>139</v>
      </c>
      <c r="Z23" s="6" t="s">
        <v>620</v>
      </c>
      <c r="AE23" s="6">
        <v>256</v>
      </c>
      <c r="AF23" s="6" t="s">
        <v>364</v>
      </c>
    </row>
    <row r="24" spans="1:32" x14ac:dyDescent="0.3">
      <c r="A24" s="6">
        <v>123</v>
      </c>
      <c r="B24" s="6" t="s">
        <v>204</v>
      </c>
      <c r="C24" s="6" t="s">
        <v>232</v>
      </c>
      <c r="D24" s="6" t="s">
        <v>259</v>
      </c>
      <c r="E24" s="15" t="s">
        <v>179</v>
      </c>
      <c r="F24" s="15">
        <v>0</v>
      </c>
      <c r="G24" s="6">
        <v>1</v>
      </c>
      <c r="H24" s="6">
        <v>2</v>
      </c>
      <c r="I24" s="6">
        <v>0</v>
      </c>
      <c r="J24" s="6">
        <v>0</v>
      </c>
      <c r="K24" s="6">
        <v>1</v>
      </c>
      <c r="L24" s="6">
        <v>1</v>
      </c>
      <c r="M24" s="21">
        <f>INDEX('카드 태그 계산기'!C:C,MATCH('02.CardData'!A24,'카드 태그 계산기'!A:A,0))</f>
        <v>128</v>
      </c>
      <c r="N24" s="6">
        <v>0</v>
      </c>
      <c r="O24" s="3">
        <v>103</v>
      </c>
      <c r="P24" s="6">
        <v>0</v>
      </c>
      <c r="Q24" s="6">
        <v>0</v>
      </c>
      <c r="R24" s="22">
        <v>0</v>
      </c>
      <c r="S24" s="22">
        <v>0</v>
      </c>
      <c r="T24" s="24" t="s">
        <v>613</v>
      </c>
      <c r="U24" s="24">
        <v>0</v>
      </c>
      <c r="X24" s="2" t="s">
        <v>97</v>
      </c>
      <c r="Y24" s="6" t="s">
        <v>142</v>
      </c>
      <c r="Z24" s="6" t="s">
        <v>620</v>
      </c>
      <c r="AE24" s="6">
        <v>512</v>
      </c>
      <c r="AF24" s="6" t="s">
        <v>363</v>
      </c>
    </row>
    <row r="25" spans="1:32" x14ac:dyDescent="0.3">
      <c r="A25" s="6">
        <v>124</v>
      </c>
      <c r="B25" s="6" t="s">
        <v>205</v>
      </c>
      <c r="C25" s="6" t="s">
        <v>233</v>
      </c>
      <c r="D25" s="6" t="s">
        <v>260</v>
      </c>
      <c r="E25" s="15" t="s">
        <v>180</v>
      </c>
      <c r="F25" s="15">
        <v>0</v>
      </c>
      <c r="G25" s="6">
        <v>1</v>
      </c>
      <c r="H25" s="6">
        <v>2</v>
      </c>
      <c r="I25" s="6">
        <v>0</v>
      </c>
      <c r="J25" s="6">
        <v>0</v>
      </c>
      <c r="K25" s="6">
        <v>2</v>
      </c>
      <c r="L25" s="6">
        <v>1</v>
      </c>
      <c r="M25" s="21">
        <f>INDEX('카드 태그 계산기'!C:C,MATCH('02.CardData'!A25,'카드 태그 계산기'!A:A,0))</f>
        <v>128</v>
      </c>
      <c r="N25" s="6">
        <v>0</v>
      </c>
      <c r="O25" s="3">
        <v>103</v>
      </c>
      <c r="P25" s="6">
        <v>0</v>
      </c>
      <c r="Q25" s="6">
        <v>0</v>
      </c>
      <c r="R25" s="22">
        <v>0</v>
      </c>
      <c r="S25" s="22">
        <v>0</v>
      </c>
      <c r="T25" s="24" t="s">
        <v>642</v>
      </c>
      <c r="U25" s="24">
        <v>0</v>
      </c>
      <c r="AE25" s="6">
        <v>1023</v>
      </c>
      <c r="AF25" s="6" t="s">
        <v>287</v>
      </c>
    </row>
    <row r="26" spans="1:32" x14ac:dyDescent="0.3">
      <c r="A26" s="6">
        <v>125</v>
      </c>
      <c r="B26" s="6" t="s">
        <v>206</v>
      </c>
      <c r="C26" s="6" t="s">
        <v>234</v>
      </c>
      <c r="D26" s="6" t="s">
        <v>261</v>
      </c>
      <c r="E26" s="15" t="s">
        <v>181</v>
      </c>
      <c r="F26" s="15">
        <v>0</v>
      </c>
      <c r="G26" s="6">
        <v>1</v>
      </c>
      <c r="H26" s="6">
        <v>2</v>
      </c>
      <c r="I26" s="6">
        <v>0</v>
      </c>
      <c r="J26" s="6">
        <v>0</v>
      </c>
      <c r="K26" s="6">
        <v>3</v>
      </c>
      <c r="L26" s="6">
        <v>1</v>
      </c>
      <c r="M26" s="21">
        <f>INDEX('카드 태그 계산기'!C:C,MATCH('02.CardData'!A26,'카드 태그 계산기'!A:A,0))</f>
        <v>128</v>
      </c>
      <c r="N26" s="6">
        <v>0</v>
      </c>
      <c r="O26" s="3">
        <v>103</v>
      </c>
      <c r="P26" s="6">
        <v>0</v>
      </c>
      <c r="Q26" s="6">
        <v>0</v>
      </c>
      <c r="R26" s="22">
        <v>0</v>
      </c>
      <c r="S26" s="22">
        <v>0</v>
      </c>
      <c r="T26" s="24" t="s">
        <v>643</v>
      </c>
      <c r="U26" s="24">
        <v>0</v>
      </c>
    </row>
    <row r="27" spans="1:32" x14ac:dyDescent="0.3">
      <c r="A27" s="6">
        <v>126</v>
      </c>
      <c r="B27" s="6" t="s">
        <v>207</v>
      </c>
      <c r="C27" s="6" t="s">
        <v>235</v>
      </c>
      <c r="D27" s="6" t="s">
        <v>262</v>
      </c>
      <c r="E27" s="15" t="s">
        <v>182</v>
      </c>
      <c r="F27" s="15">
        <v>0</v>
      </c>
      <c r="G27" s="6">
        <v>2</v>
      </c>
      <c r="H27" s="6">
        <v>2</v>
      </c>
      <c r="I27" s="6">
        <v>0</v>
      </c>
      <c r="J27" s="6">
        <v>0</v>
      </c>
      <c r="K27" s="6">
        <v>1</v>
      </c>
      <c r="L27" s="6">
        <v>1</v>
      </c>
      <c r="M27" s="21">
        <f>INDEX('카드 태그 계산기'!C:C,MATCH('02.CardData'!A27,'카드 태그 계산기'!A:A,0))</f>
        <v>0</v>
      </c>
      <c r="N27" s="6">
        <v>0</v>
      </c>
      <c r="O27" s="6">
        <v>0</v>
      </c>
      <c r="P27" s="6">
        <v>0</v>
      </c>
      <c r="Q27" s="6">
        <v>0</v>
      </c>
      <c r="R27" s="22">
        <v>0</v>
      </c>
      <c r="S27" s="22">
        <v>0</v>
      </c>
      <c r="T27" s="24">
        <v>0</v>
      </c>
      <c r="U27" s="24">
        <v>0</v>
      </c>
    </row>
    <row r="28" spans="1:32" x14ac:dyDescent="0.3">
      <c r="A28" s="6">
        <v>127</v>
      </c>
      <c r="B28" s="6" t="s">
        <v>208</v>
      </c>
      <c r="C28" s="6" t="s">
        <v>236</v>
      </c>
      <c r="D28" s="6" t="s">
        <v>263</v>
      </c>
      <c r="E28" s="15" t="s">
        <v>183</v>
      </c>
      <c r="F28" s="15">
        <v>0</v>
      </c>
      <c r="G28" s="6">
        <v>2</v>
      </c>
      <c r="H28" s="6">
        <v>2</v>
      </c>
      <c r="I28" s="6">
        <v>0</v>
      </c>
      <c r="J28" s="6">
        <v>0</v>
      </c>
      <c r="K28" s="6">
        <v>1</v>
      </c>
      <c r="L28" s="6">
        <v>1</v>
      </c>
      <c r="M28" s="21">
        <f>INDEX('카드 태그 계산기'!C:C,MATCH('02.CardData'!A28,'카드 태그 계산기'!A:A,0))</f>
        <v>0</v>
      </c>
      <c r="N28" s="6">
        <v>0</v>
      </c>
      <c r="O28" s="6">
        <v>0</v>
      </c>
      <c r="P28" s="6">
        <v>0</v>
      </c>
      <c r="Q28" s="6">
        <v>0</v>
      </c>
      <c r="R28" s="22">
        <v>0</v>
      </c>
      <c r="S28" s="22">
        <v>0</v>
      </c>
      <c r="T28" s="24">
        <v>0</v>
      </c>
      <c r="U28" s="24">
        <v>0</v>
      </c>
    </row>
    <row r="29" spans="1:32" x14ac:dyDescent="0.3">
      <c r="A29" s="6">
        <v>128</v>
      </c>
      <c r="B29" s="6" t="s">
        <v>209</v>
      </c>
      <c r="C29" s="6" t="s">
        <v>278</v>
      </c>
      <c r="D29" s="6" t="s">
        <v>264</v>
      </c>
      <c r="E29" s="15" t="s">
        <v>184</v>
      </c>
      <c r="F29" s="15">
        <v>0</v>
      </c>
      <c r="G29" s="6">
        <v>2</v>
      </c>
      <c r="H29" s="6">
        <v>2</v>
      </c>
      <c r="I29" s="6">
        <v>0</v>
      </c>
      <c r="J29" s="6">
        <v>0</v>
      </c>
      <c r="K29" s="6">
        <v>1</v>
      </c>
      <c r="L29" s="6">
        <v>1</v>
      </c>
      <c r="M29" s="21">
        <f>INDEX('카드 태그 계산기'!C:C,MATCH('02.CardData'!A29,'카드 태그 계산기'!A:A,0))</f>
        <v>0</v>
      </c>
      <c r="N29" s="6">
        <v>0</v>
      </c>
      <c r="O29" s="6">
        <v>0</v>
      </c>
      <c r="P29" s="6">
        <v>0</v>
      </c>
      <c r="Q29" s="6">
        <v>0</v>
      </c>
      <c r="R29" s="22">
        <v>0</v>
      </c>
      <c r="S29" s="22">
        <v>0</v>
      </c>
      <c r="T29" s="24">
        <v>0</v>
      </c>
      <c r="U29" s="24">
        <v>0</v>
      </c>
    </row>
    <row r="30" spans="1:32" x14ac:dyDescent="0.3">
      <c r="A30" s="6">
        <v>129</v>
      </c>
      <c r="B30" s="6" t="s">
        <v>730</v>
      </c>
      <c r="C30" s="6" t="s">
        <v>731</v>
      </c>
      <c r="D30" s="6" t="s">
        <v>732</v>
      </c>
      <c r="E30" s="15" t="s">
        <v>265</v>
      </c>
      <c r="F30" s="15">
        <v>0</v>
      </c>
      <c r="G30" s="6">
        <v>1</v>
      </c>
      <c r="H30" s="6">
        <v>2</v>
      </c>
      <c r="I30" s="6">
        <v>1</v>
      </c>
      <c r="J30" s="6" t="s">
        <v>273</v>
      </c>
      <c r="K30" s="6">
        <v>3</v>
      </c>
      <c r="L30" s="6">
        <v>1</v>
      </c>
      <c r="M30" s="21">
        <f>INDEX('카드 태그 계산기'!C:C,MATCH('02.CardData'!A30,'카드 태그 계산기'!A:A,0))</f>
        <v>32</v>
      </c>
      <c r="N30" s="6">
        <v>0</v>
      </c>
      <c r="O30" s="6">
        <v>104</v>
      </c>
      <c r="P30" s="6">
        <v>105</v>
      </c>
      <c r="Q30" s="6">
        <v>106</v>
      </c>
      <c r="R30" s="22">
        <v>0</v>
      </c>
      <c r="S30" s="22">
        <v>0</v>
      </c>
      <c r="T30" s="24" t="s">
        <v>642</v>
      </c>
      <c r="U30" s="24">
        <v>0</v>
      </c>
    </row>
    <row r="31" spans="1:32" x14ac:dyDescent="0.3">
      <c r="A31" s="6">
        <v>130</v>
      </c>
      <c r="B31" s="6" t="s">
        <v>733</v>
      </c>
      <c r="C31" s="6" t="s">
        <v>734</v>
      </c>
      <c r="D31" s="6" t="s">
        <v>735</v>
      </c>
      <c r="E31" s="15" t="s">
        <v>268</v>
      </c>
      <c r="F31" s="15">
        <v>0</v>
      </c>
      <c r="G31" s="6">
        <v>1</v>
      </c>
      <c r="H31" s="6">
        <v>2</v>
      </c>
      <c r="I31" s="6">
        <v>2</v>
      </c>
      <c r="J31" s="6" t="s">
        <v>271</v>
      </c>
      <c r="K31" s="6">
        <v>3</v>
      </c>
      <c r="L31" s="6">
        <v>1</v>
      </c>
      <c r="M31" s="21">
        <f>INDEX('카드 태그 계산기'!C:C,MATCH('02.CardData'!A31,'카드 태그 계산기'!A:A,0))</f>
        <v>32</v>
      </c>
      <c r="N31" s="6">
        <v>0</v>
      </c>
      <c r="O31" s="6">
        <v>104</v>
      </c>
      <c r="P31" s="6">
        <v>107</v>
      </c>
      <c r="Q31" s="6">
        <v>106</v>
      </c>
      <c r="R31" s="22">
        <v>0</v>
      </c>
      <c r="S31" s="22">
        <v>0</v>
      </c>
      <c r="T31" s="24" t="s">
        <v>642</v>
      </c>
      <c r="U31" s="24">
        <v>0</v>
      </c>
    </row>
    <row r="32" spans="1:32" x14ac:dyDescent="0.3">
      <c r="A32" s="6">
        <v>131</v>
      </c>
      <c r="B32" s="6" t="s">
        <v>274</v>
      </c>
      <c r="C32" s="6" t="s">
        <v>279</v>
      </c>
      <c r="D32" s="6" t="s">
        <v>283</v>
      </c>
      <c r="E32" s="15" t="s">
        <v>266</v>
      </c>
      <c r="F32" s="15">
        <v>0</v>
      </c>
      <c r="G32" s="6">
        <v>1</v>
      </c>
      <c r="H32" s="6">
        <v>2</v>
      </c>
      <c r="I32" s="6">
        <v>1</v>
      </c>
      <c r="J32" s="6" t="s">
        <v>275</v>
      </c>
      <c r="K32" s="6">
        <v>3</v>
      </c>
      <c r="L32" s="6">
        <v>1</v>
      </c>
      <c r="M32" s="21">
        <f>INDEX('카드 태그 계산기'!C:C,MATCH('02.CardData'!A32,'카드 태그 계산기'!A:A,0))</f>
        <v>32</v>
      </c>
      <c r="N32" s="6">
        <v>0</v>
      </c>
      <c r="O32" s="6">
        <v>108</v>
      </c>
      <c r="P32" s="6">
        <v>0</v>
      </c>
      <c r="Q32" s="6">
        <v>0</v>
      </c>
      <c r="R32" s="22">
        <v>0</v>
      </c>
      <c r="S32" s="22">
        <v>0</v>
      </c>
      <c r="T32" s="24" t="s">
        <v>644</v>
      </c>
      <c r="U32" s="24">
        <v>0</v>
      </c>
    </row>
    <row r="33" spans="1:21" x14ac:dyDescent="0.3">
      <c r="A33" s="6">
        <v>132</v>
      </c>
      <c r="B33" s="6" t="s">
        <v>275</v>
      </c>
      <c r="C33" s="6" t="s">
        <v>280</v>
      </c>
      <c r="D33" s="6" t="s">
        <v>284</v>
      </c>
      <c r="E33" s="15" t="s">
        <v>269</v>
      </c>
      <c r="F33" s="15">
        <v>0</v>
      </c>
      <c r="G33" s="6">
        <v>1</v>
      </c>
      <c r="H33" s="6">
        <v>2</v>
      </c>
      <c r="I33" s="6">
        <v>2</v>
      </c>
      <c r="J33" s="6" t="s">
        <v>274</v>
      </c>
      <c r="K33" s="6">
        <v>3</v>
      </c>
      <c r="L33" s="6">
        <v>1</v>
      </c>
      <c r="M33" s="21">
        <f>INDEX('카드 태그 계산기'!C:C,MATCH('02.CardData'!A33,'카드 태그 계산기'!A:A,0))</f>
        <v>32</v>
      </c>
      <c r="N33" s="6">
        <v>0</v>
      </c>
      <c r="O33" s="6">
        <v>109</v>
      </c>
      <c r="P33" s="6">
        <v>0</v>
      </c>
      <c r="Q33" s="6">
        <v>0</v>
      </c>
      <c r="R33" s="22">
        <v>0</v>
      </c>
      <c r="S33" s="22">
        <v>0</v>
      </c>
      <c r="T33" s="24" t="s">
        <v>644</v>
      </c>
      <c r="U33" s="24">
        <v>0</v>
      </c>
    </row>
    <row r="34" spans="1:21" x14ac:dyDescent="0.3">
      <c r="A34" s="6">
        <v>133</v>
      </c>
      <c r="B34" s="6" t="s">
        <v>276</v>
      </c>
      <c r="C34" s="6" t="s">
        <v>281</v>
      </c>
      <c r="D34" s="6" t="s">
        <v>285</v>
      </c>
      <c r="E34" s="15" t="s">
        <v>267</v>
      </c>
      <c r="F34" s="15">
        <v>0</v>
      </c>
      <c r="G34" s="6">
        <v>1</v>
      </c>
      <c r="H34" s="6">
        <v>2</v>
      </c>
      <c r="I34" s="6">
        <v>1</v>
      </c>
      <c r="J34" s="6" t="s">
        <v>277</v>
      </c>
      <c r="K34" s="6">
        <v>3</v>
      </c>
      <c r="L34" s="6">
        <v>1</v>
      </c>
      <c r="M34" s="21">
        <f>INDEX('카드 태그 계산기'!C:C,MATCH('02.CardData'!A34,'카드 태그 계산기'!A:A,0))</f>
        <v>32</v>
      </c>
      <c r="N34" s="6">
        <v>0</v>
      </c>
      <c r="O34" s="6">
        <v>110</v>
      </c>
      <c r="P34" s="6">
        <v>111</v>
      </c>
      <c r="Q34" s="6">
        <v>112</v>
      </c>
      <c r="R34" s="22">
        <v>0</v>
      </c>
      <c r="S34" s="22">
        <v>0</v>
      </c>
      <c r="T34" s="24" t="s">
        <v>645</v>
      </c>
      <c r="U34" s="24">
        <v>0</v>
      </c>
    </row>
    <row r="35" spans="1:21" x14ac:dyDescent="0.3">
      <c r="A35" s="6">
        <v>134</v>
      </c>
      <c r="B35" s="6" t="s">
        <v>277</v>
      </c>
      <c r="C35" s="6" t="s">
        <v>282</v>
      </c>
      <c r="D35" s="6" t="s">
        <v>286</v>
      </c>
      <c r="E35" s="15" t="s">
        <v>270</v>
      </c>
      <c r="F35" s="15">
        <v>0</v>
      </c>
      <c r="G35" s="6">
        <v>1</v>
      </c>
      <c r="H35" s="6">
        <v>2</v>
      </c>
      <c r="I35" s="6">
        <v>2</v>
      </c>
      <c r="J35" s="6" t="s">
        <v>276</v>
      </c>
      <c r="K35" s="6">
        <v>3</v>
      </c>
      <c r="L35" s="6">
        <v>1</v>
      </c>
      <c r="M35" s="21">
        <f>INDEX('카드 태그 계산기'!C:C,MATCH('02.CardData'!A35,'카드 태그 계산기'!A:A,0))</f>
        <v>32</v>
      </c>
      <c r="N35" s="6">
        <v>0</v>
      </c>
      <c r="O35" s="6">
        <v>113</v>
      </c>
      <c r="P35" s="6">
        <v>114</v>
      </c>
      <c r="Q35" s="6">
        <v>115</v>
      </c>
      <c r="R35" s="22">
        <v>0</v>
      </c>
      <c r="S35" s="22">
        <v>0</v>
      </c>
      <c r="T35" s="24" t="s">
        <v>645</v>
      </c>
      <c r="U35" s="24">
        <v>0</v>
      </c>
    </row>
    <row r="36" spans="1:21" x14ac:dyDescent="0.3">
      <c r="A36" s="6">
        <v>201</v>
      </c>
      <c r="B36" s="6" t="s">
        <v>297</v>
      </c>
      <c r="C36" s="6" t="s">
        <v>298</v>
      </c>
      <c r="D36" s="6" t="s">
        <v>299</v>
      </c>
      <c r="E36" s="15" t="s">
        <v>296</v>
      </c>
      <c r="F36" s="15">
        <v>0</v>
      </c>
      <c r="G36" s="6">
        <v>1</v>
      </c>
      <c r="H36" s="6">
        <v>3</v>
      </c>
      <c r="I36" s="6">
        <v>1</v>
      </c>
      <c r="J36" s="6" t="s">
        <v>300</v>
      </c>
      <c r="K36" s="6">
        <v>1</v>
      </c>
      <c r="L36" s="6">
        <v>2</v>
      </c>
      <c r="M36" s="21">
        <v>257</v>
      </c>
      <c r="N36" s="6">
        <v>0</v>
      </c>
      <c r="O36" s="6">
        <v>0</v>
      </c>
      <c r="P36" s="6">
        <v>0</v>
      </c>
      <c r="Q36" s="6">
        <v>0</v>
      </c>
      <c r="R36" s="22">
        <v>0</v>
      </c>
      <c r="S36" s="22">
        <v>0</v>
      </c>
      <c r="T36" s="24">
        <v>0</v>
      </c>
      <c r="U36" s="24">
        <v>0</v>
      </c>
    </row>
    <row r="37" spans="1:21" x14ac:dyDescent="0.3">
      <c r="A37" s="6">
        <v>202</v>
      </c>
      <c r="B37" s="6" t="s">
        <v>300</v>
      </c>
      <c r="C37" s="6" t="s">
        <v>301</v>
      </c>
      <c r="D37" s="6" t="s">
        <v>302</v>
      </c>
      <c r="E37" s="15" t="s">
        <v>303</v>
      </c>
      <c r="F37" s="15">
        <v>0</v>
      </c>
      <c r="G37" s="6">
        <v>1</v>
      </c>
      <c r="H37" s="6">
        <v>3</v>
      </c>
      <c r="I37" s="6">
        <v>2</v>
      </c>
      <c r="J37" s="6" t="s">
        <v>297</v>
      </c>
      <c r="K37" s="6">
        <v>1</v>
      </c>
      <c r="L37" s="6">
        <v>2</v>
      </c>
      <c r="M37" s="21">
        <v>257</v>
      </c>
      <c r="N37" s="6">
        <v>0</v>
      </c>
      <c r="O37" s="6">
        <v>0</v>
      </c>
      <c r="P37" s="6">
        <v>0</v>
      </c>
      <c r="Q37" s="6">
        <v>0</v>
      </c>
      <c r="R37" s="22">
        <v>0</v>
      </c>
      <c r="S37" s="22">
        <v>0</v>
      </c>
      <c r="T37" s="24">
        <v>0</v>
      </c>
      <c r="U37" s="24">
        <v>0</v>
      </c>
    </row>
    <row r="38" spans="1:21" x14ac:dyDescent="0.3">
      <c r="A38" s="6">
        <v>203</v>
      </c>
      <c r="B38" s="6" t="s">
        <v>383</v>
      </c>
      <c r="C38" s="6" t="s">
        <v>366</v>
      </c>
      <c r="D38" s="6" t="s">
        <v>367</v>
      </c>
      <c r="E38" s="15" t="s">
        <v>304</v>
      </c>
      <c r="F38" s="15">
        <v>0</v>
      </c>
      <c r="G38" s="6">
        <v>1</v>
      </c>
      <c r="H38" s="6">
        <v>3</v>
      </c>
      <c r="I38" s="6">
        <v>1</v>
      </c>
      <c r="J38" s="6" t="s">
        <v>368</v>
      </c>
      <c r="K38" s="6">
        <v>2</v>
      </c>
      <c r="L38" s="6">
        <v>2</v>
      </c>
      <c r="M38" s="21">
        <v>768</v>
      </c>
      <c r="N38" s="6">
        <v>2</v>
      </c>
      <c r="O38" s="6">
        <v>0</v>
      </c>
      <c r="P38" s="6">
        <v>0</v>
      </c>
      <c r="Q38" s="6">
        <v>0</v>
      </c>
      <c r="R38" s="22">
        <v>0</v>
      </c>
      <c r="S38" s="22">
        <v>0</v>
      </c>
      <c r="T38" s="24">
        <v>0</v>
      </c>
      <c r="U38" s="24">
        <v>0</v>
      </c>
    </row>
    <row r="39" spans="1:21" x14ac:dyDescent="0.3">
      <c r="A39" s="6">
        <v>204</v>
      </c>
      <c r="B39" s="6" t="s">
        <v>384</v>
      </c>
      <c r="C39" s="6" t="s">
        <v>369</v>
      </c>
      <c r="D39" s="6" t="s">
        <v>370</v>
      </c>
      <c r="E39" s="15" t="s">
        <v>305</v>
      </c>
      <c r="F39" s="15">
        <v>0</v>
      </c>
      <c r="G39" s="6">
        <v>1</v>
      </c>
      <c r="H39" s="6">
        <v>3</v>
      </c>
      <c r="I39" s="6">
        <v>2</v>
      </c>
      <c r="J39" s="6" t="s">
        <v>365</v>
      </c>
      <c r="K39" s="6">
        <v>2</v>
      </c>
      <c r="L39" s="6">
        <v>2</v>
      </c>
      <c r="M39" s="21">
        <v>768</v>
      </c>
      <c r="N39" s="6">
        <v>1</v>
      </c>
      <c r="O39" s="6">
        <v>0</v>
      </c>
      <c r="P39" s="6">
        <v>0</v>
      </c>
      <c r="Q39" s="6">
        <v>0</v>
      </c>
      <c r="R39" s="22">
        <v>0</v>
      </c>
      <c r="S39" s="22">
        <v>0</v>
      </c>
      <c r="T39" s="24">
        <v>0</v>
      </c>
      <c r="U39" s="24">
        <v>0</v>
      </c>
    </row>
    <row r="40" spans="1:21" x14ac:dyDescent="0.3">
      <c r="A40" s="6">
        <v>205</v>
      </c>
      <c r="B40" s="6" t="s">
        <v>371</v>
      </c>
      <c r="C40" s="6" t="s">
        <v>373</v>
      </c>
      <c r="D40" s="6" t="s">
        <v>375</v>
      </c>
      <c r="E40" s="15" t="s">
        <v>306</v>
      </c>
      <c r="F40" s="15">
        <v>0</v>
      </c>
      <c r="G40" s="6">
        <v>2</v>
      </c>
      <c r="H40" s="6">
        <v>3</v>
      </c>
      <c r="I40" s="6">
        <v>1</v>
      </c>
      <c r="J40" s="6" t="s">
        <v>372</v>
      </c>
      <c r="K40" s="6">
        <v>2</v>
      </c>
      <c r="L40" s="6">
        <v>2</v>
      </c>
      <c r="M40" s="21">
        <v>384</v>
      </c>
      <c r="N40" s="6">
        <v>0</v>
      </c>
      <c r="O40" s="6">
        <v>0</v>
      </c>
      <c r="P40" s="6">
        <v>0</v>
      </c>
      <c r="Q40" s="6">
        <v>0</v>
      </c>
      <c r="R40" s="22">
        <v>0</v>
      </c>
      <c r="S40" s="22">
        <v>0</v>
      </c>
      <c r="T40" s="24">
        <v>0</v>
      </c>
      <c r="U40" s="24">
        <v>0</v>
      </c>
    </row>
    <row r="41" spans="1:21" x14ac:dyDescent="0.3">
      <c r="A41" s="6">
        <v>206</v>
      </c>
      <c r="B41" s="6" t="s">
        <v>372</v>
      </c>
      <c r="C41" s="6" t="s">
        <v>374</v>
      </c>
      <c r="D41" s="6" t="s">
        <v>376</v>
      </c>
      <c r="E41" s="15" t="s">
        <v>307</v>
      </c>
      <c r="F41" s="15">
        <v>0</v>
      </c>
      <c r="G41" s="6">
        <v>2</v>
      </c>
      <c r="H41" s="6">
        <v>3</v>
      </c>
      <c r="I41" s="6">
        <v>2</v>
      </c>
      <c r="J41" s="6" t="s">
        <v>371</v>
      </c>
      <c r="K41" s="6">
        <v>2</v>
      </c>
      <c r="L41" s="6">
        <v>2</v>
      </c>
      <c r="M41" s="21">
        <v>384</v>
      </c>
      <c r="N41" s="6">
        <v>0</v>
      </c>
      <c r="O41" s="6">
        <v>0</v>
      </c>
      <c r="P41" s="6">
        <v>0</v>
      </c>
      <c r="Q41" s="6">
        <v>0</v>
      </c>
      <c r="R41" s="22">
        <v>0</v>
      </c>
      <c r="S41" s="22">
        <v>0</v>
      </c>
      <c r="T41" s="24">
        <v>0</v>
      </c>
      <c r="U41" s="24">
        <v>0</v>
      </c>
    </row>
    <row r="42" spans="1:21" x14ac:dyDescent="0.3">
      <c r="A42" s="6">
        <v>207</v>
      </c>
      <c r="B42" s="6" t="s">
        <v>385</v>
      </c>
      <c r="C42" s="6" t="s">
        <v>379</v>
      </c>
      <c r="D42" s="6" t="s">
        <v>381</v>
      </c>
      <c r="E42" s="15" t="s">
        <v>308</v>
      </c>
      <c r="F42" s="15">
        <v>0</v>
      </c>
      <c r="G42" s="6">
        <v>1</v>
      </c>
      <c r="H42" s="6">
        <v>3</v>
      </c>
      <c r="I42" s="6">
        <v>1</v>
      </c>
      <c r="J42" s="6" t="s">
        <v>378</v>
      </c>
      <c r="K42" s="6">
        <v>1</v>
      </c>
      <c r="L42" s="6">
        <v>2</v>
      </c>
      <c r="M42" s="21">
        <v>768</v>
      </c>
      <c r="N42" s="6">
        <v>1</v>
      </c>
      <c r="O42" s="6">
        <v>0</v>
      </c>
      <c r="P42" s="6">
        <v>0</v>
      </c>
      <c r="Q42" s="6">
        <v>0</v>
      </c>
      <c r="R42" s="22">
        <v>0</v>
      </c>
      <c r="S42" s="22">
        <v>0</v>
      </c>
      <c r="T42" s="24">
        <v>0</v>
      </c>
      <c r="U42" s="24">
        <v>0</v>
      </c>
    </row>
    <row r="43" spans="1:21" x14ac:dyDescent="0.3">
      <c r="A43" s="6">
        <v>208</v>
      </c>
      <c r="B43" s="6" t="s">
        <v>386</v>
      </c>
      <c r="C43" s="6" t="s">
        <v>380</v>
      </c>
      <c r="D43" s="6" t="s">
        <v>382</v>
      </c>
      <c r="E43" s="15" t="s">
        <v>309</v>
      </c>
      <c r="F43" s="15">
        <v>0</v>
      </c>
      <c r="G43" s="6">
        <v>1</v>
      </c>
      <c r="H43" s="6">
        <v>3</v>
      </c>
      <c r="I43" s="6">
        <v>2</v>
      </c>
      <c r="J43" s="6" t="s">
        <v>377</v>
      </c>
      <c r="K43" s="6">
        <v>1</v>
      </c>
      <c r="L43" s="6">
        <v>2</v>
      </c>
      <c r="M43" s="21">
        <v>768</v>
      </c>
      <c r="N43" s="6">
        <v>1</v>
      </c>
      <c r="O43" s="6">
        <v>0</v>
      </c>
      <c r="P43" s="6">
        <v>0</v>
      </c>
      <c r="Q43" s="6">
        <v>0</v>
      </c>
      <c r="R43" s="22">
        <v>0</v>
      </c>
      <c r="S43" s="22">
        <v>0</v>
      </c>
      <c r="T43" s="24">
        <v>0</v>
      </c>
      <c r="U43" s="24">
        <v>0</v>
      </c>
    </row>
    <row r="44" spans="1:21" x14ac:dyDescent="0.3">
      <c r="A44" s="6">
        <v>209</v>
      </c>
      <c r="B44" s="6" t="s">
        <v>387</v>
      </c>
      <c r="C44" s="6" t="s">
        <v>474</v>
      </c>
      <c r="D44" s="6" t="s">
        <v>524</v>
      </c>
      <c r="E44" s="15" t="s">
        <v>310</v>
      </c>
      <c r="F44" s="15">
        <v>0</v>
      </c>
      <c r="G44" s="6">
        <v>1</v>
      </c>
      <c r="H44" s="6">
        <v>3</v>
      </c>
      <c r="I44" s="6">
        <v>1</v>
      </c>
      <c r="J44" s="6" t="s">
        <v>432</v>
      </c>
      <c r="K44" s="6">
        <v>2</v>
      </c>
      <c r="L44" s="6">
        <v>2</v>
      </c>
      <c r="M44" s="21">
        <v>768</v>
      </c>
      <c r="N44" s="6">
        <v>3</v>
      </c>
      <c r="O44" s="6">
        <v>0</v>
      </c>
      <c r="P44" s="6">
        <v>0</v>
      </c>
      <c r="Q44" s="6">
        <v>0</v>
      </c>
      <c r="R44" s="22">
        <v>0</v>
      </c>
      <c r="S44" s="22">
        <v>0</v>
      </c>
      <c r="T44" s="24">
        <v>0</v>
      </c>
      <c r="U44" s="24">
        <v>0</v>
      </c>
    </row>
    <row r="45" spans="1:21" x14ac:dyDescent="0.3">
      <c r="A45" s="6">
        <v>210</v>
      </c>
      <c r="B45" s="6" t="s">
        <v>432</v>
      </c>
      <c r="C45" s="6" t="s">
        <v>475</v>
      </c>
      <c r="D45" s="6" t="s">
        <v>525</v>
      </c>
      <c r="E45" s="15" t="s">
        <v>311</v>
      </c>
      <c r="F45" s="15">
        <v>0</v>
      </c>
      <c r="G45" s="6">
        <v>1</v>
      </c>
      <c r="H45" s="6">
        <v>3</v>
      </c>
      <c r="I45" s="6">
        <v>2</v>
      </c>
      <c r="J45" s="6" t="s">
        <v>387</v>
      </c>
      <c r="K45" s="6">
        <v>2</v>
      </c>
      <c r="L45" s="6">
        <v>2</v>
      </c>
      <c r="M45" s="21">
        <v>768</v>
      </c>
      <c r="N45" s="6">
        <v>2</v>
      </c>
      <c r="O45" s="6">
        <v>0</v>
      </c>
      <c r="P45" s="6">
        <v>0</v>
      </c>
      <c r="Q45" s="6">
        <v>0</v>
      </c>
      <c r="R45" s="22">
        <v>0</v>
      </c>
      <c r="S45" s="22">
        <v>0</v>
      </c>
      <c r="T45" s="24">
        <v>0</v>
      </c>
      <c r="U45" s="24">
        <v>0</v>
      </c>
    </row>
    <row r="46" spans="1:21" x14ac:dyDescent="0.3">
      <c r="A46" s="6">
        <v>211</v>
      </c>
      <c r="B46" s="6" t="s">
        <v>388</v>
      </c>
      <c r="C46" s="6" t="s">
        <v>476</v>
      </c>
      <c r="D46" s="6" t="s">
        <v>526</v>
      </c>
      <c r="E46" s="15" t="s">
        <v>312</v>
      </c>
      <c r="F46" s="15">
        <v>0</v>
      </c>
      <c r="G46" s="6">
        <v>1</v>
      </c>
      <c r="H46" s="6">
        <v>3</v>
      </c>
      <c r="I46" s="6">
        <v>1</v>
      </c>
      <c r="J46" s="6" t="s">
        <v>389</v>
      </c>
      <c r="K46" s="6">
        <v>1</v>
      </c>
      <c r="L46" s="6">
        <v>2</v>
      </c>
      <c r="M46" s="21">
        <v>768</v>
      </c>
      <c r="N46" s="6">
        <v>1</v>
      </c>
      <c r="O46" s="6">
        <v>0</v>
      </c>
      <c r="P46" s="6">
        <v>0</v>
      </c>
      <c r="Q46" s="6">
        <v>0</v>
      </c>
      <c r="R46" s="22">
        <v>0</v>
      </c>
      <c r="S46" s="22">
        <v>0</v>
      </c>
      <c r="T46" s="24">
        <v>0</v>
      </c>
      <c r="U46" s="24">
        <v>0</v>
      </c>
    </row>
    <row r="47" spans="1:21" x14ac:dyDescent="0.3">
      <c r="A47" s="6">
        <v>212</v>
      </c>
      <c r="B47" s="6" t="s">
        <v>389</v>
      </c>
      <c r="C47" s="6" t="s">
        <v>477</v>
      </c>
      <c r="D47" s="6" t="s">
        <v>527</v>
      </c>
      <c r="E47" s="15" t="s">
        <v>314</v>
      </c>
      <c r="F47" s="15">
        <v>0</v>
      </c>
      <c r="G47" s="6">
        <v>1</v>
      </c>
      <c r="H47" s="6">
        <v>3</v>
      </c>
      <c r="I47" s="6">
        <v>2</v>
      </c>
      <c r="J47" s="6" t="s">
        <v>574</v>
      </c>
      <c r="K47" s="6">
        <v>1</v>
      </c>
      <c r="L47" s="6">
        <v>2</v>
      </c>
      <c r="M47" s="21">
        <v>768</v>
      </c>
      <c r="N47" s="6">
        <v>1</v>
      </c>
      <c r="O47" s="6">
        <v>0</v>
      </c>
      <c r="P47" s="6">
        <v>0</v>
      </c>
      <c r="Q47" s="6">
        <v>0</v>
      </c>
      <c r="R47" s="22">
        <v>0</v>
      </c>
      <c r="S47" s="22">
        <v>0</v>
      </c>
      <c r="T47" s="24">
        <v>0</v>
      </c>
      <c r="U47" s="24">
        <v>0</v>
      </c>
    </row>
    <row r="48" spans="1:21" x14ac:dyDescent="0.3">
      <c r="A48" s="6">
        <v>213</v>
      </c>
      <c r="B48" s="6" t="s">
        <v>390</v>
      </c>
      <c r="C48" s="6" t="s">
        <v>478</v>
      </c>
      <c r="D48" s="6" t="s">
        <v>528</v>
      </c>
      <c r="E48" s="15" t="s">
        <v>313</v>
      </c>
      <c r="F48" s="15">
        <v>0</v>
      </c>
      <c r="G48" s="6">
        <v>1</v>
      </c>
      <c r="H48" s="6">
        <v>3</v>
      </c>
      <c r="I48" s="6">
        <v>1</v>
      </c>
      <c r="J48" s="6" t="s">
        <v>433</v>
      </c>
      <c r="K48" s="6">
        <v>2</v>
      </c>
      <c r="L48" s="6">
        <v>2</v>
      </c>
      <c r="M48" s="21">
        <v>768</v>
      </c>
      <c r="N48" s="6">
        <v>3</v>
      </c>
      <c r="O48" s="6">
        <v>0</v>
      </c>
      <c r="P48" s="6">
        <v>0</v>
      </c>
      <c r="Q48" s="6">
        <v>0</v>
      </c>
      <c r="R48" s="22">
        <v>0</v>
      </c>
      <c r="S48" s="22">
        <v>0</v>
      </c>
      <c r="T48" s="24">
        <v>0</v>
      </c>
      <c r="U48" s="24">
        <v>0</v>
      </c>
    </row>
    <row r="49" spans="1:21" x14ac:dyDescent="0.3">
      <c r="A49" s="6">
        <v>214</v>
      </c>
      <c r="B49" s="6" t="s">
        <v>433</v>
      </c>
      <c r="C49" s="6" t="s">
        <v>479</v>
      </c>
      <c r="D49" s="6" t="s">
        <v>529</v>
      </c>
      <c r="E49" s="15" t="s">
        <v>315</v>
      </c>
      <c r="F49" s="15">
        <v>0</v>
      </c>
      <c r="G49" s="6">
        <v>1</v>
      </c>
      <c r="H49" s="6">
        <v>3</v>
      </c>
      <c r="I49" s="6">
        <v>2</v>
      </c>
      <c r="J49" s="6" t="s">
        <v>575</v>
      </c>
      <c r="K49" s="6">
        <v>2</v>
      </c>
      <c r="L49" s="6">
        <v>2</v>
      </c>
      <c r="M49" s="21">
        <v>768</v>
      </c>
      <c r="N49" s="6">
        <v>2</v>
      </c>
      <c r="O49" s="6">
        <v>0</v>
      </c>
      <c r="P49" s="6">
        <v>0</v>
      </c>
      <c r="Q49" s="6">
        <v>0</v>
      </c>
      <c r="R49" s="22">
        <v>0</v>
      </c>
      <c r="S49" s="22">
        <v>0</v>
      </c>
      <c r="T49" s="24">
        <v>0</v>
      </c>
      <c r="U49" s="24">
        <v>0</v>
      </c>
    </row>
    <row r="50" spans="1:21" x14ac:dyDescent="0.3">
      <c r="A50" s="6">
        <v>215</v>
      </c>
      <c r="B50" s="6" t="s">
        <v>391</v>
      </c>
      <c r="C50" s="6" t="s">
        <v>480</v>
      </c>
      <c r="D50" s="6" t="s">
        <v>530</v>
      </c>
      <c r="E50" s="15" t="s">
        <v>316</v>
      </c>
      <c r="F50" s="15">
        <v>0</v>
      </c>
      <c r="G50" s="6">
        <v>1</v>
      </c>
      <c r="H50" s="6">
        <v>3</v>
      </c>
      <c r="I50" s="6">
        <v>1</v>
      </c>
      <c r="J50" s="6" t="s">
        <v>434</v>
      </c>
      <c r="K50" s="6">
        <v>2</v>
      </c>
      <c r="L50" s="6">
        <v>2</v>
      </c>
      <c r="M50" s="21">
        <v>768</v>
      </c>
      <c r="N50" s="6">
        <v>4</v>
      </c>
      <c r="O50" s="6">
        <v>0</v>
      </c>
      <c r="P50" s="6">
        <v>0</v>
      </c>
      <c r="Q50" s="6">
        <v>0</v>
      </c>
      <c r="R50" s="22">
        <v>0</v>
      </c>
      <c r="S50" s="22">
        <v>0</v>
      </c>
      <c r="T50" s="24">
        <v>0</v>
      </c>
      <c r="U50" s="24">
        <v>0</v>
      </c>
    </row>
    <row r="51" spans="1:21" x14ac:dyDescent="0.3">
      <c r="A51" s="6">
        <v>216</v>
      </c>
      <c r="B51" s="6" t="s">
        <v>434</v>
      </c>
      <c r="C51" s="6" t="s">
        <v>481</v>
      </c>
      <c r="D51" s="6" t="s">
        <v>531</v>
      </c>
      <c r="E51" s="15" t="s">
        <v>317</v>
      </c>
      <c r="F51" s="15">
        <v>0</v>
      </c>
      <c r="G51" s="6">
        <v>1</v>
      </c>
      <c r="H51" s="6">
        <v>3</v>
      </c>
      <c r="I51" s="6">
        <v>2</v>
      </c>
      <c r="J51" s="6" t="s">
        <v>392</v>
      </c>
      <c r="K51" s="6">
        <v>2</v>
      </c>
      <c r="L51" s="6">
        <v>2</v>
      </c>
      <c r="M51" s="21">
        <v>768</v>
      </c>
      <c r="N51" s="6">
        <v>4</v>
      </c>
      <c r="O51" s="6">
        <v>0</v>
      </c>
      <c r="P51" s="6">
        <v>0</v>
      </c>
      <c r="Q51" s="6">
        <v>0</v>
      </c>
      <c r="R51" s="22">
        <v>0</v>
      </c>
      <c r="S51" s="22">
        <v>0</v>
      </c>
      <c r="T51" s="24">
        <v>0</v>
      </c>
      <c r="U51" s="24">
        <v>0</v>
      </c>
    </row>
    <row r="52" spans="1:21" x14ac:dyDescent="0.3">
      <c r="A52" s="6">
        <v>217</v>
      </c>
      <c r="B52" s="6" t="s">
        <v>393</v>
      </c>
      <c r="C52" s="6" t="s">
        <v>482</v>
      </c>
      <c r="D52" s="6" t="s">
        <v>532</v>
      </c>
      <c r="E52" s="15" t="s">
        <v>318</v>
      </c>
      <c r="F52" s="15">
        <v>0</v>
      </c>
      <c r="G52" s="6">
        <v>1</v>
      </c>
      <c r="H52" s="6">
        <v>3</v>
      </c>
      <c r="I52" s="6">
        <v>1</v>
      </c>
      <c r="J52" s="6" t="s">
        <v>435</v>
      </c>
      <c r="K52" s="6">
        <v>3</v>
      </c>
      <c r="L52" s="6">
        <v>2</v>
      </c>
      <c r="M52" s="21">
        <v>768</v>
      </c>
      <c r="N52" s="6">
        <v>5</v>
      </c>
      <c r="O52" s="6">
        <v>0</v>
      </c>
      <c r="P52" s="6">
        <v>0</v>
      </c>
      <c r="Q52" s="6">
        <v>0</v>
      </c>
      <c r="R52" s="22">
        <v>0</v>
      </c>
      <c r="S52" s="22">
        <v>0</v>
      </c>
      <c r="T52" s="24">
        <v>0</v>
      </c>
      <c r="U52" s="24">
        <v>0</v>
      </c>
    </row>
    <row r="53" spans="1:21" x14ac:dyDescent="0.3">
      <c r="A53" s="6">
        <v>218</v>
      </c>
      <c r="B53" s="6" t="s">
        <v>435</v>
      </c>
      <c r="C53" s="6" t="s">
        <v>483</v>
      </c>
      <c r="D53" s="6" t="s">
        <v>533</v>
      </c>
      <c r="E53" s="15" t="s">
        <v>319</v>
      </c>
      <c r="F53" s="15">
        <v>0</v>
      </c>
      <c r="G53" s="6">
        <v>1</v>
      </c>
      <c r="H53" s="6">
        <v>3</v>
      </c>
      <c r="I53" s="6">
        <v>2</v>
      </c>
      <c r="J53" s="6" t="s">
        <v>393</v>
      </c>
      <c r="K53" s="6">
        <v>3</v>
      </c>
      <c r="L53" s="6">
        <v>2</v>
      </c>
      <c r="M53" s="21">
        <v>768</v>
      </c>
      <c r="N53" s="6">
        <v>5</v>
      </c>
      <c r="O53" s="6">
        <v>0</v>
      </c>
      <c r="P53" s="6">
        <v>0</v>
      </c>
      <c r="Q53" s="6">
        <v>0</v>
      </c>
      <c r="R53" s="22">
        <v>0</v>
      </c>
      <c r="S53" s="22">
        <v>0</v>
      </c>
      <c r="T53" s="24">
        <v>0</v>
      </c>
      <c r="U53" s="24">
        <v>0</v>
      </c>
    </row>
    <row r="54" spans="1:21" x14ac:dyDescent="0.3">
      <c r="A54" s="6">
        <v>219</v>
      </c>
      <c r="B54" s="6" t="s">
        <v>394</v>
      </c>
      <c r="C54" s="6" t="s">
        <v>484</v>
      </c>
      <c r="D54" s="6" t="s">
        <v>534</v>
      </c>
      <c r="E54" s="15" t="s">
        <v>320</v>
      </c>
      <c r="F54" s="15">
        <v>0</v>
      </c>
      <c r="G54" s="6">
        <v>1</v>
      </c>
      <c r="H54" s="6">
        <v>3</v>
      </c>
      <c r="I54" s="6">
        <v>1</v>
      </c>
      <c r="J54" s="6" t="s">
        <v>436</v>
      </c>
      <c r="K54" s="6">
        <v>1</v>
      </c>
      <c r="L54" s="6">
        <v>2</v>
      </c>
      <c r="M54" s="21">
        <v>0</v>
      </c>
      <c r="N54" s="6">
        <v>0</v>
      </c>
      <c r="O54" s="6">
        <v>0</v>
      </c>
      <c r="P54" s="6">
        <v>0</v>
      </c>
      <c r="Q54" s="6">
        <v>0</v>
      </c>
      <c r="R54" s="22">
        <v>0</v>
      </c>
      <c r="S54" s="22">
        <v>0</v>
      </c>
      <c r="T54" s="24">
        <v>0</v>
      </c>
      <c r="U54" s="24">
        <v>0</v>
      </c>
    </row>
    <row r="55" spans="1:21" x14ac:dyDescent="0.3">
      <c r="A55" s="6">
        <v>220</v>
      </c>
      <c r="B55" s="6" t="s">
        <v>436</v>
      </c>
      <c r="C55" s="6" t="s">
        <v>485</v>
      </c>
      <c r="D55" s="6" t="s">
        <v>535</v>
      </c>
      <c r="E55" s="15" t="s">
        <v>321</v>
      </c>
      <c r="F55" s="15">
        <v>0</v>
      </c>
      <c r="G55" s="6">
        <v>1</v>
      </c>
      <c r="H55" s="6">
        <v>3</v>
      </c>
      <c r="I55" s="6">
        <v>2</v>
      </c>
      <c r="J55" s="6" t="s">
        <v>394</v>
      </c>
      <c r="K55" s="6">
        <v>1</v>
      </c>
      <c r="L55" s="6">
        <v>2</v>
      </c>
      <c r="M55" s="21">
        <v>512</v>
      </c>
      <c r="N55" s="6">
        <v>0</v>
      </c>
      <c r="O55" s="6">
        <v>0</v>
      </c>
      <c r="P55" s="6">
        <v>0</v>
      </c>
      <c r="Q55" s="6">
        <v>0</v>
      </c>
      <c r="R55" s="22">
        <v>0</v>
      </c>
      <c r="S55" s="22">
        <v>0</v>
      </c>
      <c r="T55" s="24">
        <v>0</v>
      </c>
      <c r="U55" s="24">
        <v>0</v>
      </c>
    </row>
    <row r="56" spans="1:21" x14ac:dyDescent="0.3">
      <c r="A56" s="6">
        <v>221</v>
      </c>
      <c r="B56" s="6" t="s">
        <v>395</v>
      </c>
      <c r="C56" s="6" t="s">
        <v>486</v>
      </c>
      <c r="D56" s="6" t="s">
        <v>536</v>
      </c>
      <c r="E56" s="15" t="s">
        <v>322</v>
      </c>
      <c r="F56" s="15">
        <v>0</v>
      </c>
      <c r="G56" s="6">
        <v>2</v>
      </c>
      <c r="H56" s="6">
        <v>3</v>
      </c>
      <c r="I56" s="6">
        <v>1</v>
      </c>
      <c r="J56" s="6" t="s">
        <v>473</v>
      </c>
      <c r="K56" s="6">
        <v>3</v>
      </c>
      <c r="L56" s="6">
        <v>2</v>
      </c>
      <c r="M56" s="21">
        <v>128</v>
      </c>
      <c r="N56" s="6">
        <v>0</v>
      </c>
      <c r="O56" s="6">
        <v>0</v>
      </c>
      <c r="P56" s="6">
        <v>0</v>
      </c>
      <c r="Q56" s="6">
        <v>0</v>
      </c>
      <c r="R56" s="22">
        <v>0</v>
      </c>
      <c r="S56" s="22">
        <v>0</v>
      </c>
      <c r="T56" s="24">
        <v>0</v>
      </c>
      <c r="U56" s="24">
        <v>0</v>
      </c>
    </row>
    <row r="57" spans="1:21" x14ac:dyDescent="0.3">
      <c r="A57" s="6">
        <v>222</v>
      </c>
      <c r="B57" s="6" t="s">
        <v>473</v>
      </c>
      <c r="C57" s="6" t="s">
        <v>487</v>
      </c>
      <c r="D57" s="6" t="s">
        <v>537</v>
      </c>
      <c r="E57" s="15" t="s">
        <v>323</v>
      </c>
      <c r="F57" s="15">
        <v>0</v>
      </c>
      <c r="G57" s="6">
        <v>2</v>
      </c>
      <c r="H57" s="6">
        <v>3</v>
      </c>
      <c r="I57" s="6">
        <v>2</v>
      </c>
      <c r="J57" s="6" t="s">
        <v>395</v>
      </c>
      <c r="K57" s="6">
        <v>3</v>
      </c>
      <c r="L57" s="6">
        <v>2</v>
      </c>
      <c r="M57" s="21">
        <v>128</v>
      </c>
      <c r="N57" s="6">
        <v>0</v>
      </c>
      <c r="O57" s="6">
        <v>0</v>
      </c>
      <c r="P57" s="6">
        <v>0</v>
      </c>
      <c r="Q57" s="6">
        <v>0</v>
      </c>
      <c r="R57" s="22">
        <v>0</v>
      </c>
      <c r="S57" s="22">
        <v>0</v>
      </c>
      <c r="T57" s="24">
        <v>0</v>
      </c>
      <c r="U57" s="24">
        <v>0</v>
      </c>
    </row>
    <row r="58" spans="1:21" x14ac:dyDescent="0.3">
      <c r="A58" s="6">
        <v>223</v>
      </c>
      <c r="B58" s="6" t="s">
        <v>397</v>
      </c>
      <c r="C58" s="6" t="s">
        <v>488</v>
      </c>
      <c r="D58" s="6" t="s">
        <v>538</v>
      </c>
      <c r="E58" s="15" t="s">
        <v>324</v>
      </c>
      <c r="F58" s="15">
        <v>0</v>
      </c>
      <c r="G58" s="6">
        <v>1</v>
      </c>
      <c r="H58" s="6">
        <v>3</v>
      </c>
      <c r="I58" s="6">
        <v>1</v>
      </c>
      <c r="J58" s="6" t="s">
        <v>471</v>
      </c>
      <c r="K58" s="6">
        <v>1</v>
      </c>
      <c r="L58" s="6">
        <v>2</v>
      </c>
      <c r="M58" s="21">
        <v>772</v>
      </c>
      <c r="N58" s="6">
        <v>1</v>
      </c>
      <c r="O58" s="6">
        <v>0</v>
      </c>
      <c r="P58" s="6">
        <v>0</v>
      </c>
      <c r="Q58" s="6">
        <v>0</v>
      </c>
      <c r="R58" s="22">
        <v>0</v>
      </c>
      <c r="S58" s="22">
        <v>0</v>
      </c>
      <c r="T58" s="24">
        <v>0</v>
      </c>
      <c r="U58" s="24">
        <v>0</v>
      </c>
    </row>
    <row r="59" spans="1:21" x14ac:dyDescent="0.3">
      <c r="A59" s="6">
        <v>224</v>
      </c>
      <c r="B59" s="6" t="s">
        <v>472</v>
      </c>
      <c r="C59" s="6" t="s">
        <v>489</v>
      </c>
      <c r="D59" s="6" t="s">
        <v>539</v>
      </c>
      <c r="E59" s="15" t="s">
        <v>325</v>
      </c>
      <c r="F59" s="15">
        <v>0</v>
      </c>
      <c r="G59" s="6">
        <v>1</v>
      </c>
      <c r="H59" s="6">
        <v>3</v>
      </c>
      <c r="I59" s="6">
        <v>2</v>
      </c>
      <c r="J59" s="6" t="s">
        <v>396</v>
      </c>
      <c r="K59" s="6">
        <v>1</v>
      </c>
      <c r="L59" s="6">
        <v>2</v>
      </c>
      <c r="M59" s="21">
        <v>772</v>
      </c>
      <c r="N59" s="6">
        <v>1</v>
      </c>
      <c r="O59" s="6">
        <v>0</v>
      </c>
      <c r="P59" s="6">
        <v>0</v>
      </c>
      <c r="Q59" s="6">
        <v>0</v>
      </c>
      <c r="R59" s="22">
        <v>0</v>
      </c>
      <c r="S59" s="22">
        <v>0</v>
      </c>
      <c r="T59" s="24">
        <v>0</v>
      </c>
      <c r="U59" s="24">
        <v>0</v>
      </c>
    </row>
    <row r="60" spans="1:21" x14ac:dyDescent="0.3">
      <c r="A60" s="6">
        <v>225</v>
      </c>
      <c r="B60" s="6" t="s">
        <v>399</v>
      </c>
      <c r="C60" s="6" t="s">
        <v>490</v>
      </c>
      <c r="D60" s="6" t="s">
        <v>540</v>
      </c>
      <c r="E60" s="15" t="s">
        <v>326</v>
      </c>
      <c r="F60" s="15">
        <v>0</v>
      </c>
      <c r="G60" s="6">
        <v>1</v>
      </c>
      <c r="H60" s="6">
        <v>3</v>
      </c>
      <c r="I60" s="6">
        <v>1</v>
      </c>
      <c r="J60" s="6" t="s">
        <v>469</v>
      </c>
      <c r="K60" s="6">
        <v>2</v>
      </c>
      <c r="L60" s="6">
        <v>2</v>
      </c>
      <c r="M60" s="21">
        <v>772</v>
      </c>
      <c r="N60" s="6">
        <v>3</v>
      </c>
      <c r="O60" s="6">
        <v>0</v>
      </c>
      <c r="P60" s="6">
        <v>0</v>
      </c>
      <c r="Q60" s="6">
        <v>0</v>
      </c>
      <c r="R60" s="22">
        <v>0</v>
      </c>
      <c r="S60" s="22">
        <v>0</v>
      </c>
      <c r="T60" s="24">
        <v>0</v>
      </c>
      <c r="U60" s="24">
        <v>0</v>
      </c>
    </row>
    <row r="61" spans="1:21" x14ac:dyDescent="0.3">
      <c r="A61" s="6">
        <v>226</v>
      </c>
      <c r="B61" s="6" t="s">
        <v>470</v>
      </c>
      <c r="C61" s="6" t="s">
        <v>491</v>
      </c>
      <c r="D61" s="6" t="s">
        <v>541</v>
      </c>
      <c r="E61" s="15" t="s">
        <v>327</v>
      </c>
      <c r="F61" s="15">
        <v>0</v>
      </c>
      <c r="G61" s="6">
        <v>1</v>
      </c>
      <c r="H61" s="6">
        <v>3</v>
      </c>
      <c r="I61" s="6">
        <v>2</v>
      </c>
      <c r="J61" s="6" t="s">
        <v>398</v>
      </c>
      <c r="K61" s="6">
        <v>2</v>
      </c>
      <c r="L61" s="6">
        <v>2</v>
      </c>
      <c r="M61" s="21">
        <v>772</v>
      </c>
      <c r="N61" s="6">
        <v>2</v>
      </c>
      <c r="O61" s="6">
        <v>0</v>
      </c>
      <c r="P61" s="6">
        <v>0</v>
      </c>
      <c r="Q61" s="6">
        <v>0</v>
      </c>
      <c r="R61" s="22">
        <v>0</v>
      </c>
      <c r="S61" s="22">
        <v>0</v>
      </c>
      <c r="T61" s="24">
        <v>0</v>
      </c>
      <c r="U61" s="24">
        <v>0</v>
      </c>
    </row>
    <row r="62" spans="1:21" x14ac:dyDescent="0.3">
      <c r="A62" s="6">
        <v>227</v>
      </c>
      <c r="B62" s="6" t="s">
        <v>401</v>
      </c>
      <c r="C62" s="6" t="s">
        <v>492</v>
      </c>
      <c r="D62" s="6" t="s">
        <v>542</v>
      </c>
      <c r="E62" s="15" t="s">
        <v>328</v>
      </c>
      <c r="F62" s="15">
        <v>0</v>
      </c>
      <c r="G62" s="6">
        <v>1</v>
      </c>
      <c r="H62" s="6">
        <v>3</v>
      </c>
      <c r="I62" s="6">
        <v>1</v>
      </c>
      <c r="J62" s="6" t="s">
        <v>467</v>
      </c>
      <c r="K62" s="6">
        <v>2</v>
      </c>
      <c r="L62" s="6">
        <v>2</v>
      </c>
      <c r="M62" s="21">
        <v>772</v>
      </c>
      <c r="N62" s="6">
        <v>0</v>
      </c>
      <c r="O62" s="6">
        <v>0</v>
      </c>
      <c r="P62" s="6">
        <v>0</v>
      </c>
      <c r="Q62" s="6">
        <v>0</v>
      </c>
      <c r="R62" s="22">
        <v>0</v>
      </c>
      <c r="S62" s="22">
        <v>0</v>
      </c>
      <c r="T62" s="24">
        <v>0</v>
      </c>
      <c r="U62" s="24">
        <v>0</v>
      </c>
    </row>
    <row r="63" spans="1:21" x14ac:dyDescent="0.3">
      <c r="A63" s="6">
        <v>228</v>
      </c>
      <c r="B63" s="6" t="s">
        <v>468</v>
      </c>
      <c r="C63" s="6" t="s">
        <v>493</v>
      </c>
      <c r="D63" s="6" t="s">
        <v>543</v>
      </c>
      <c r="E63" s="15" t="s">
        <v>329</v>
      </c>
      <c r="F63" s="15">
        <v>0</v>
      </c>
      <c r="G63" s="6">
        <v>1</v>
      </c>
      <c r="H63" s="6">
        <v>3</v>
      </c>
      <c r="I63" s="6">
        <v>2</v>
      </c>
      <c r="J63" s="6" t="s">
        <v>400</v>
      </c>
      <c r="K63" s="6">
        <v>2</v>
      </c>
      <c r="L63" s="6">
        <v>2</v>
      </c>
      <c r="M63" s="21">
        <v>772</v>
      </c>
      <c r="N63" s="6">
        <v>0</v>
      </c>
      <c r="O63" s="6">
        <v>0</v>
      </c>
      <c r="P63" s="6">
        <v>0</v>
      </c>
      <c r="Q63" s="6">
        <v>0</v>
      </c>
      <c r="R63" s="22">
        <v>0</v>
      </c>
      <c r="S63" s="22">
        <v>0</v>
      </c>
      <c r="T63" s="24">
        <v>0</v>
      </c>
      <c r="U63" s="24">
        <v>0</v>
      </c>
    </row>
    <row r="64" spans="1:21" x14ac:dyDescent="0.3">
      <c r="A64" s="6">
        <v>229</v>
      </c>
      <c r="B64" s="6" t="s">
        <v>403</v>
      </c>
      <c r="C64" s="6" t="s">
        <v>494</v>
      </c>
      <c r="D64" s="6" t="s">
        <v>544</v>
      </c>
      <c r="E64" s="15" t="s">
        <v>330</v>
      </c>
      <c r="F64" s="15">
        <v>0</v>
      </c>
      <c r="G64" s="6">
        <v>1</v>
      </c>
      <c r="H64" s="6">
        <v>3</v>
      </c>
      <c r="I64" s="6">
        <v>1</v>
      </c>
      <c r="J64" s="6" t="s">
        <v>465</v>
      </c>
      <c r="K64" s="6">
        <v>2</v>
      </c>
      <c r="L64" s="6">
        <v>2</v>
      </c>
      <c r="M64" s="21">
        <v>772</v>
      </c>
      <c r="N64" s="6">
        <v>4</v>
      </c>
      <c r="O64" s="6">
        <v>0</v>
      </c>
      <c r="P64" s="6">
        <v>0</v>
      </c>
      <c r="Q64" s="6">
        <v>0</v>
      </c>
      <c r="R64" s="22">
        <v>0</v>
      </c>
      <c r="S64" s="22">
        <v>0</v>
      </c>
      <c r="T64" s="24">
        <v>0</v>
      </c>
      <c r="U64" s="24">
        <v>0</v>
      </c>
    </row>
    <row r="65" spans="1:21" x14ac:dyDescent="0.3">
      <c r="A65" s="6">
        <v>230</v>
      </c>
      <c r="B65" s="6" t="s">
        <v>466</v>
      </c>
      <c r="C65" s="6" t="s">
        <v>495</v>
      </c>
      <c r="D65" s="6" t="s">
        <v>545</v>
      </c>
      <c r="E65" s="15" t="s">
        <v>331</v>
      </c>
      <c r="F65" s="15">
        <v>0</v>
      </c>
      <c r="G65" s="6">
        <v>1</v>
      </c>
      <c r="H65" s="6">
        <v>3</v>
      </c>
      <c r="I65" s="6">
        <v>2</v>
      </c>
      <c r="J65" s="6" t="s">
        <v>402</v>
      </c>
      <c r="K65" s="6">
        <v>2</v>
      </c>
      <c r="L65" s="6">
        <v>2</v>
      </c>
      <c r="M65" s="21">
        <v>772</v>
      </c>
      <c r="N65" s="6">
        <v>4</v>
      </c>
      <c r="O65" s="6">
        <v>0</v>
      </c>
      <c r="P65" s="6">
        <v>0</v>
      </c>
      <c r="Q65" s="6">
        <v>0</v>
      </c>
      <c r="R65" s="22">
        <v>0</v>
      </c>
      <c r="S65" s="22">
        <v>0</v>
      </c>
      <c r="T65" s="24">
        <v>0</v>
      </c>
      <c r="U65" s="24">
        <v>0</v>
      </c>
    </row>
    <row r="66" spans="1:21" x14ac:dyDescent="0.3">
      <c r="A66" s="6">
        <v>231</v>
      </c>
      <c r="B66" s="6" t="s">
        <v>405</v>
      </c>
      <c r="C66" s="6" t="s">
        <v>496</v>
      </c>
      <c r="D66" s="6" t="s">
        <v>546</v>
      </c>
      <c r="E66" s="15" t="s">
        <v>332</v>
      </c>
      <c r="F66" s="15">
        <v>0</v>
      </c>
      <c r="G66" s="6">
        <v>1</v>
      </c>
      <c r="H66" s="6">
        <v>3</v>
      </c>
      <c r="I66" s="6">
        <v>1</v>
      </c>
      <c r="J66" s="6" t="s">
        <v>463</v>
      </c>
      <c r="K66" s="6">
        <v>3</v>
      </c>
      <c r="L66" s="6">
        <v>2</v>
      </c>
      <c r="M66" s="21">
        <v>772</v>
      </c>
      <c r="N66" s="6">
        <v>2</v>
      </c>
      <c r="O66" s="6">
        <v>0</v>
      </c>
      <c r="P66" s="6">
        <v>0</v>
      </c>
      <c r="Q66" s="6">
        <v>0</v>
      </c>
      <c r="R66" s="22">
        <v>0</v>
      </c>
      <c r="S66" s="22">
        <v>0</v>
      </c>
      <c r="T66" s="24">
        <v>0</v>
      </c>
      <c r="U66" s="24">
        <v>0</v>
      </c>
    </row>
    <row r="67" spans="1:21" x14ac:dyDescent="0.3">
      <c r="A67" s="6">
        <v>232</v>
      </c>
      <c r="B67" s="6" t="s">
        <v>464</v>
      </c>
      <c r="C67" s="6" t="s">
        <v>497</v>
      </c>
      <c r="D67" s="6" t="s">
        <v>547</v>
      </c>
      <c r="E67" s="15" t="s">
        <v>333</v>
      </c>
      <c r="F67" s="15">
        <v>0</v>
      </c>
      <c r="G67" s="6">
        <v>1</v>
      </c>
      <c r="H67" s="6">
        <v>3</v>
      </c>
      <c r="I67" s="6">
        <v>2</v>
      </c>
      <c r="J67" s="6" t="s">
        <v>404</v>
      </c>
      <c r="K67" s="6">
        <v>3</v>
      </c>
      <c r="L67" s="6">
        <v>2</v>
      </c>
      <c r="M67" s="21">
        <v>772</v>
      </c>
      <c r="N67" s="6">
        <v>2</v>
      </c>
      <c r="O67" s="6">
        <v>0</v>
      </c>
      <c r="P67" s="6">
        <v>0</v>
      </c>
      <c r="Q67" s="6">
        <v>0</v>
      </c>
      <c r="R67" s="22">
        <v>0</v>
      </c>
      <c r="S67" s="22">
        <v>0</v>
      </c>
      <c r="T67" s="24">
        <v>0</v>
      </c>
      <c r="U67" s="24">
        <v>0</v>
      </c>
    </row>
    <row r="68" spans="1:21" x14ac:dyDescent="0.3">
      <c r="A68" s="6">
        <v>233</v>
      </c>
      <c r="B68" s="6" t="s">
        <v>407</v>
      </c>
      <c r="C68" s="6" t="s">
        <v>498</v>
      </c>
      <c r="D68" s="6" t="s">
        <v>548</v>
      </c>
      <c r="E68" s="15" t="s">
        <v>334</v>
      </c>
      <c r="F68" s="15">
        <v>0</v>
      </c>
      <c r="G68" s="6">
        <v>1</v>
      </c>
      <c r="H68" s="6">
        <v>3</v>
      </c>
      <c r="I68" s="6">
        <v>1</v>
      </c>
      <c r="J68" s="6" t="s">
        <v>461</v>
      </c>
      <c r="K68" s="6">
        <v>3</v>
      </c>
      <c r="L68" s="6">
        <v>2</v>
      </c>
      <c r="M68" s="21">
        <v>772</v>
      </c>
      <c r="N68" s="6">
        <v>5</v>
      </c>
      <c r="O68" s="6">
        <v>0</v>
      </c>
      <c r="P68" s="6">
        <v>0</v>
      </c>
      <c r="Q68" s="6">
        <v>0</v>
      </c>
      <c r="R68" s="22">
        <v>0</v>
      </c>
      <c r="S68" s="22">
        <v>0</v>
      </c>
      <c r="T68" s="24">
        <v>0</v>
      </c>
      <c r="U68" s="24">
        <v>0</v>
      </c>
    </row>
    <row r="69" spans="1:21" x14ac:dyDescent="0.3">
      <c r="A69" s="6">
        <v>234</v>
      </c>
      <c r="B69" s="6" t="s">
        <v>462</v>
      </c>
      <c r="C69" s="6" t="s">
        <v>499</v>
      </c>
      <c r="D69" s="6" t="s">
        <v>549</v>
      </c>
      <c r="E69" s="15" t="s">
        <v>335</v>
      </c>
      <c r="F69" s="15">
        <v>0</v>
      </c>
      <c r="G69" s="6">
        <v>1</v>
      </c>
      <c r="H69" s="6">
        <v>3</v>
      </c>
      <c r="I69" s="6">
        <v>2</v>
      </c>
      <c r="J69" s="6" t="s">
        <v>406</v>
      </c>
      <c r="K69" s="6">
        <v>3</v>
      </c>
      <c r="L69" s="6">
        <v>2</v>
      </c>
      <c r="M69" s="21">
        <v>772</v>
      </c>
      <c r="N69" s="6">
        <v>5</v>
      </c>
      <c r="O69" s="6">
        <v>0</v>
      </c>
      <c r="P69" s="6">
        <v>0</v>
      </c>
      <c r="Q69" s="6">
        <v>0</v>
      </c>
      <c r="R69" s="22">
        <v>0</v>
      </c>
      <c r="S69" s="22">
        <v>0</v>
      </c>
      <c r="T69" s="24">
        <v>0</v>
      </c>
      <c r="U69" s="24">
        <v>0</v>
      </c>
    </row>
    <row r="70" spans="1:21" x14ac:dyDescent="0.3">
      <c r="A70" s="6">
        <v>235</v>
      </c>
      <c r="B70" s="6" t="s">
        <v>409</v>
      </c>
      <c r="C70" s="6" t="s">
        <v>500</v>
      </c>
      <c r="D70" s="6" t="s">
        <v>550</v>
      </c>
      <c r="E70" s="15" t="s">
        <v>336</v>
      </c>
      <c r="F70" s="15">
        <v>0</v>
      </c>
      <c r="G70" s="6">
        <v>1</v>
      </c>
      <c r="H70" s="6">
        <v>3</v>
      </c>
      <c r="I70" s="6">
        <v>1</v>
      </c>
      <c r="J70" s="6" t="s">
        <v>459</v>
      </c>
      <c r="K70" s="6">
        <v>1</v>
      </c>
      <c r="L70" s="6">
        <v>2</v>
      </c>
      <c r="M70" s="21">
        <v>776</v>
      </c>
      <c r="N70" s="6">
        <v>1</v>
      </c>
      <c r="O70" s="6">
        <v>0</v>
      </c>
      <c r="P70" s="6">
        <v>0</v>
      </c>
      <c r="Q70" s="6">
        <v>0</v>
      </c>
      <c r="R70" s="22">
        <v>0</v>
      </c>
      <c r="S70" s="22">
        <v>0</v>
      </c>
      <c r="T70" s="24">
        <v>0</v>
      </c>
      <c r="U70" s="24">
        <v>0</v>
      </c>
    </row>
    <row r="71" spans="1:21" x14ac:dyDescent="0.3">
      <c r="A71" s="6">
        <v>236</v>
      </c>
      <c r="B71" s="6" t="s">
        <v>460</v>
      </c>
      <c r="C71" s="6" t="s">
        <v>501</v>
      </c>
      <c r="D71" s="6" t="s">
        <v>551</v>
      </c>
      <c r="E71" s="15" t="s">
        <v>337</v>
      </c>
      <c r="F71" s="15">
        <v>0</v>
      </c>
      <c r="G71" s="6">
        <v>1</v>
      </c>
      <c r="H71" s="6">
        <v>3</v>
      </c>
      <c r="I71" s="6">
        <v>2</v>
      </c>
      <c r="J71" s="6" t="s">
        <v>408</v>
      </c>
      <c r="K71" s="6">
        <v>1</v>
      </c>
      <c r="L71" s="6">
        <v>2</v>
      </c>
      <c r="M71" s="21">
        <v>776</v>
      </c>
      <c r="N71" s="6">
        <v>1</v>
      </c>
      <c r="O71" s="6">
        <v>0</v>
      </c>
      <c r="P71" s="6">
        <v>0</v>
      </c>
      <c r="Q71" s="6">
        <v>0</v>
      </c>
      <c r="R71" s="22">
        <v>0</v>
      </c>
      <c r="S71" s="22">
        <v>0</v>
      </c>
      <c r="T71" s="24">
        <v>0</v>
      </c>
      <c r="U71" s="24">
        <v>0</v>
      </c>
    </row>
    <row r="72" spans="1:21" x14ac:dyDescent="0.3">
      <c r="A72" s="6">
        <v>237</v>
      </c>
      <c r="B72" s="6" t="s">
        <v>411</v>
      </c>
      <c r="C72" s="6" t="s">
        <v>502</v>
      </c>
      <c r="D72" s="6" t="s">
        <v>552</v>
      </c>
      <c r="E72" s="15" t="s">
        <v>338</v>
      </c>
      <c r="F72" s="15">
        <v>0</v>
      </c>
      <c r="G72" s="6">
        <v>1</v>
      </c>
      <c r="H72" s="6">
        <v>3</v>
      </c>
      <c r="I72" s="6">
        <v>1</v>
      </c>
      <c r="J72" s="6" t="s">
        <v>457</v>
      </c>
      <c r="K72" s="6">
        <v>2</v>
      </c>
      <c r="L72" s="6">
        <v>2</v>
      </c>
      <c r="M72" s="21">
        <v>776</v>
      </c>
      <c r="N72" s="6">
        <v>3</v>
      </c>
      <c r="O72" s="6">
        <v>0</v>
      </c>
      <c r="P72" s="6">
        <v>0</v>
      </c>
      <c r="Q72" s="6">
        <v>0</v>
      </c>
      <c r="R72" s="22">
        <v>0</v>
      </c>
      <c r="S72" s="22">
        <v>0</v>
      </c>
      <c r="T72" s="24">
        <v>0</v>
      </c>
      <c r="U72" s="24">
        <v>0</v>
      </c>
    </row>
    <row r="73" spans="1:21" x14ac:dyDescent="0.3">
      <c r="A73" s="6">
        <v>238</v>
      </c>
      <c r="B73" s="6" t="s">
        <v>458</v>
      </c>
      <c r="C73" s="6" t="s">
        <v>503</v>
      </c>
      <c r="D73" s="6" t="s">
        <v>553</v>
      </c>
      <c r="E73" s="15" t="s">
        <v>339</v>
      </c>
      <c r="F73" s="15">
        <v>0</v>
      </c>
      <c r="G73" s="6">
        <v>1</v>
      </c>
      <c r="H73" s="6">
        <v>3</v>
      </c>
      <c r="I73" s="6">
        <v>2</v>
      </c>
      <c r="J73" s="6" t="s">
        <v>410</v>
      </c>
      <c r="K73" s="6">
        <v>2</v>
      </c>
      <c r="L73" s="6">
        <v>2</v>
      </c>
      <c r="M73" s="21">
        <v>776</v>
      </c>
      <c r="N73" s="6">
        <v>2</v>
      </c>
      <c r="O73" s="6">
        <v>0</v>
      </c>
      <c r="P73" s="6">
        <v>0</v>
      </c>
      <c r="Q73" s="6">
        <v>0</v>
      </c>
      <c r="R73" s="22">
        <v>0</v>
      </c>
      <c r="S73" s="22">
        <v>0</v>
      </c>
      <c r="T73" s="24">
        <v>0</v>
      </c>
      <c r="U73" s="24">
        <v>0</v>
      </c>
    </row>
    <row r="74" spans="1:21" x14ac:dyDescent="0.3">
      <c r="A74" s="6">
        <v>239</v>
      </c>
      <c r="B74" s="6" t="s">
        <v>413</v>
      </c>
      <c r="C74" s="6" t="s">
        <v>504</v>
      </c>
      <c r="D74" s="6" t="s">
        <v>554</v>
      </c>
      <c r="E74" s="15" t="s">
        <v>340</v>
      </c>
      <c r="F74" s="15">
        <v>0</v>
      </c>
      <c r="G74" s="6">
        <v>1</v>
      </c>
      <c r="H74" s="6">
        <v>3</v>
      </c>
      <c r="I74" s="6">
        <v>1</v>
      </c>
      <c r="J74" s="6" t="s">
        <v>455</v>
      </c>
      <c r="K74" s="6">
        <v>3</v>
      </c>
      <c r="L74" s="6">
        <v>2</v>
      </c>
      <c r="M74" s="21">
        <v>776</v>
      </c>
      <c r="N74" s="6">
        <v>2</v>
      </c>
      <c r="O74" s="6">
        <v>0</v>
      </c>
      <c r="P74" s="6">
        <v>0</v>
      </c>
      <c r="Q74" s="6">
        <v>0</v>
      </c>
      <c r="R74" s="22">
        <v>0</v>
      </c>
      <c r="S74" s="22">
        <v>0</v>
      </c>
      <c r="T74" s="24">
        <v>0</v>
      </c>
      <c r="U74" s="24">
        <v>0</v>
      </c>
    </row>
    <row r="75" spans="1:21" x14ac:dyDescent="0.3">
      <c r="A75" s="6">
        <v>240</v>
      </c>
      <c r="B75" s="6" t="s">
        <v>456</v>
      </c>
      <c r="C75" s="6" t="s">
        <v>505</v>
      </c>
      <c r="D75" s="6" t="s">
        <v>555</v>
      </c>
      <c r="E75" s="15" t="s">
        <v>341</v>
      </c>
      <c r="F75" s="15">
        <v>0</v>
      </c>
      <c r="G75" s="6">
        <v>1</v>
      </c>
      <c r="H75" s="6">
        <v>3</v>
      </c>
      <c r="I75" s="6">
        <v>2</v>
      </c>
      <c r="J75" s="6" t="s">
        <v>412</v>
      </c>
      <c r="K75" s="6">
        <v>3</v>
      </c>
      <c r="L75" s="6">
        <v>2</v>
      </c>
      <c r="M75" s="21">
        <v>776</v>
      </c>
      <c r="N75" s="6">
        <v>2</v>
      </c>
      <c r="O75" s="6">
        <v>0</v>
      </c>
      <c r="P75" s="6">
        <v>0</v>
      </c>
      <c r="Q75" s="6">
        <v>0</v>
      </c>
      <c r="R75" s="22">
        <v>0</v>
      </c>
      <c r="S75" s="22">
        <v>0</v>
      </c>
      <c r="T75" s="24">
        <v>0</v>
      </c>
      <c r="U75" s="24">
        <v>0</v>
      </c>
    </row>
    <row r="76" spans="1:21" x14ac:dyDescent="0.3">
      <c r="A76" s="6">
        <v>241</v>
      </c>
      <c r="B76" s="6" t="s">
        <v>415</v>
      </c>
      <c r="C76" s="6" t="s">
        <v>506</v>
      </c>
      <c r="D76" s="6" t="s">
        <v>556</v>
      </c>
      <c r="E76" s="15" t="s">
        <v>342</v>
      </c>
      <c r="F76" s="15">
        <v>0</v>
      </c>
      <c r="G76" s="6">
        <v>1</v>
      </c>
      <c r="H76" s="6">
        <v>3</v>
      </c>
      <c r="I76" s="6">
        <v>1</v>
      </c>
      <c r="J76" s="6" t="s">
        <v>453</v>
      </c>
      <c r="K76" s="6">
        <v>1</v>
      </c>
      <c r="L76" s="6">
        <v>2</v>
      </c>
      <c r="M76" s="21">
        <v>776</v>
      </c>
      <c r="N76" s="6">
        <v>3</v>
      </c>
      <c r="O76" s="6">
        <v>0</v>
      </c>
      <c r="P76" s="6">
        <v>0</v>
      </c>
      <c r="Q76" s="6">
        <v>0</v>
      </c>
      <c r="R76" s="22">
        <v>0</v>
      </c>
      <c r="S76" s="22">
        <v>0</v>
      </c>
      <c r="T76" s="24">
        <v>0</v>
      </c>
      <c r="U76" s="24">
        <v>0</v>
      </c>
    </row>
    <row r="77" spans="1:21" x14ac:dyDescent="0.3">
      <c r="A77" s="6">
        <v>242</v>
      </c>
      <c r="B77" s="6" t="s">
        <v>454</v>
      </c>
      <c r="C77" s="6" t="s">
        <v>507</v>
      </c>
      <c r="D77" s="6" t="s">
        <v>557</v>
      </c>
      <c r="E77" s="15" t="s">
        <v>343</v>
      </c>
      <c r="F77" s="15">
        <v>0</v>
      </c>
      <c r="G77" s="6">
        <v>1</v>
      </c>
      <c r="H77" s="6">
        <v>3</v>
      </c>
      <c r="I77" s="6">
        <v>2</v>
      </c>
      <c r="J77" s="6" t="s">
        <v>414</v>
      </c>
      <c r="K77" s="6">
        <v>1</v>
      </c>
      <c r="L77" s="6">
        <v>2</v>
      </c>
      <c r="M77" s="21">
        <v>776</v>
      </c>
      <c r="N77" s="6">
        <v>3</v>
      </c>
      <c r="O77" s="6">
        <v>0</v>
      </c>
      <c r="P77" s="6">
        <v>0</v>
      </c>
      <c r="Q77" s="6">
        <v>0</v>
      </c>
      <c r="R77" s="22">
        <v>0</v>
      </c>
      <c r="S77" s="22">
        <v>0</v>
      </c>
      <c r="T77" s="24">
        <v>0</v>
      </c>
      <c r="U77" s="24">
        <v>0</v>
      </c>
    </row>
    <row r="78" spans="1:21" x14ac:dyDescent="0.3">
      <c r="A78" s="6">
        <v>243</v>
      </c>
      <c r="B78" s="6" t="s">
        <v>417</v>
      </c>
      <c r="C78" s="6" t="s">
        <v>508</v>
      </c>
      <c r="D78" s="6" t="s">
        <v>558</v>
      </c>
      <c r="E78" s="15" t="s">
        <v>344</v>
      </c>
      <c r="F78" s="15">
        <v>0</v>
      </c>
      <c r="G78" s="6">
        <v>1</v>
      </c>
      <c r="H78" s="6">
        <v>3</v>
      </c>
      <c r="I78" s="6">
        <v>1</v>
      </c>
      <c r="J78" s="6" t="s">
        <v>451</v>
      </c>
      <c r="K78" s="6">
        <v>1</v>
      </c>
      <c r="L78" s="6">
        <v>2</v>
      </c>
      <c r="M78" s="21">
        <v>776</v>
      </c>
      <c r="N78" s="6">
        <v>3</v>
      </c>
      <c r="O78" s="6">
        <v>0</v>
      </c>
      <c r="P78" s="6">
        <v>0</v>
      </c>
      <c r="Q78" s="6">
        <v>0</v>
      </c>
      <c r="R78" s="22">
        <v>0</v>
      </c>
      <c r="S78" s="22">
        <v>0</v>
      </c>
      <c r="T78" s="24">
        <v>0</v>
      </c>
      <c r="U78" s="24">
        <v>0</v>
      </c>
    </row>
    <row r="79" spans="1:21" x14ac:dyDescent="0.3">
      <c r="A79" s="6">
        <v>244</v>
      </c>
      <c r="B79" s="6" t="s">
        <v>452</v>
      </c>
      <c r="C79" s="6" t="s">
        <v>509</v>
      </c>
      <c r="D79" s="6" t="s">
        <v>559</v>
      </c>
      <c r="E79" s="15" t="s">
        <v>345</v>
      </c>
      <c r="F79" s="15">
        <v>0</v>
      </c>
      <c r="G79" s="6">
        <v>1</v>
      </c>
      <c r="H79" s="6">
        <v>3</v>
      </c>
      <c r="I79" s="6">
        <v>2</v>
      </c>
      <c r="J79" s="6" t="s">
        <v>416</v>
      </c>
      <c r="K79" s="6">
        <v>1</v>
      </c>
      <c r="L79" s="6">
        <v>2</v>
      </c>
      <c r="M79" s="21">
        <v>776</v>
      </c>
      <c r="N79" s="6">
        <v>3</v>
      </c>
      <c r="O79" s="6">
        <v>0</v>
      </c>
      <c r="P79" s="6">
        <v>0</v>
      </c>
      <c r="Q79" s="6">
        <v>0</v>
      </c>
      <c r="R79" s="22">
        <v>0</v>
      </c>
      <c r="S79" s="22">
        <v>0</v>
      </c>
      <c r="T79" s="24">
        <v>0</v>
      </c>
      <c r="U79" s="24">
        <v>0</v>
      </c>
    </row>
    <row r="80" spans="1:21" x14ac:dyDescent="0.3">
      <c r="A80" s="6">
        <v>245</v>
      </c>
      <c r="B80" s="6" t="s">
        <v>419</v>
      </c>
      <c r="C80" s="6" t="s">
        <v>510</v>
      </c>
      <c r="D80" s="6" t="s">
        <v>560</v>
      </c>
      <c r="E80" s="15" t="s">
        <v>346</v>
      </c>
      <c r="F80" s="15">
        <v>0</v>
      </c>
      <c r="G80" s="6">
        <v>1</v>
      </c>
      <c r="H80" s="6">
        <v>3</v>
      </c>
      <c r="I80" s="6">
        <v>1</v>
      </c>
      <c r="J80" s="6" t="s">
        <v>449</v>
      </c>
      <c r="K80" s="6">
        <v>2</v>
      </c>
      <c r="L80" s="6">
        <v>2</v>
      </c>
      <c r="M80" s="21">
        <v>776</v>
      </c>
      <c r="N80" s="6">
        <v>2</v>
      </c>
      <c r="O80" s="6">
        <v>0</v>
      </c>
      <c r="P80" s="6">
        <v>0</v>
      </c>
      <c r="Q80" s="6">
        <v>0</v>
      </c>
      <c r="R80" s="22">
        <v>0</v>
      </c>
      <c r="S80" s="22">
        <v>0</v>
      </c>
      <c r="T80" s="24">
        <v>0</v>
      </c>
      <c r="U80" s="24">
        <v>0</v>
      </c>
    </row>
    <row r="81" spans="1:21" x14ac:dyDescent="0.3">
      <c r="A81" s="6">
        <v>246</v>
      </c>
      <c r="B81" s="6" t="s">
        <v>450</v>
      </c>
      <c r="C81" s="6" t="s">
        <v>511</v>
      </c>
      <c r="D81" s="6" t="s">
        <v>561</v>
      </c>
      <c r="E81" s="15" t="s">
        <v>347</v>
      </c>
      <c r="F81" s="15">
        <v>0</v>
      </c>
      <c r="G81" s="6">
        <v>1</v>
      </c>
      <c r="H81" s="6">
        <v>3</v>
      </c>
      <c r="I81" s="6">
        <v>2</v>
      </c>
      <c r="J81" s="6" t="s">
        <v>418</v>
      </c>
      <c r="K81" s="6">
        <v>2</v>
      </c>
      <c r="L81" s="6">
        <v>2</v>
      </c>
      <c r="M81" s="21">
        <v>776</v>
      </c>
      <c r="N81" s="6">
        <v>2</v>
      </c>
      <c r="O81" s="6">
        <v>0</v>
      </c>
      <c r="P81" s="6">
        <v>0</v>
      </c>
      <c r="Q81" s="6">
        <v>0</v>
      </c>
      <c r="R81" s="22">
        <v>0</v>
      </c>
      <c r="S81" s="22">
        <v>0</v>
      </c>
      <c r="T81" s="24">
        <v>0</v>
      </c>
      <c r="U81" s="24">
        <v>0</v>
      </c>
    </row>
    <row r="82" spans="1:21" x14ac:dyDescent="0.3">
      <c r="A82" s="6">
        <v>247</v>
      </c>
      <c r="B82" s="6" t="s">
        <v>423</v>
      </c>
      <c r="C82" s="6" t="s">
        <v>512</v>
      </c>
      <c r="D82" s="6" t="s">
        <v>562</v>
      </c>
      <c r="E82" s="15" t="s">
        <v>348</v>
      </c>
      <c r="F82" s="15">
        <v>0</v>
      </c>
      <c r="G82" s="6">
        <v>1</v>
      </c>
      <c r="H82" s="6">
        <v>3</v>
      </c>
      <c r="I82" s="6">
        <v>1</v>
      </c>
      <c r="J82" s="6" t="s">
        <v>447</v>
      </c>
      <c r="K82" s="6">
        <v>1</v>
      </c>
      <c r="L82" s="6">
        <v>2</v>
      </c>
      <c r="M82" s="21">
        <v>784</v>
      </c>
      <c r="N82" s="6">
        <v>2</v>
      </c>
      <c r="O82" s="6">
        <v>0</v>
      </c>
      <c r="P82" s="6">
        <v>0</v>
      </c>
      <c r="Q82" s="6">
        <v>0</v>
      </c>
      <c r="R82" s="22">
        <v>0</v>
      </c>
      <c r="S82" s="22">
        <v>0</v>
      </c>
      <c r="T82" s="24">
        <v>0</v>
      </c>
      <c r="U82" s="24">
        <v>0</v>
      </c>
    </row>
    <row r="83" spans="1:21" x14ac:dyDescent="0.3">
      <c r="A83" s="6">
        <v>248</v>
      </c>
      <c r="B83" s="6" t="s">
        <v>448</v>
      </c>
      <c r="C83" s="6" t="s">
        <v>513</v>
      </c>
      <c r="D83" s="6" t="s">
        <v>563</v>
      </c>
      <c r="E83" s="15" t="s">
        <v>349</v>
      </c>
      <c r="F83" s="15">
        <v>0</v>
      </c>
      <c r="G83" s="6">
        <v>1</v>
      </c>
      <c r="H83" s="6">
        <v>3</v>
      </c>
      <c r="I83" s="6">
        <v>2</v>
      </c>
      <c r="J83" s="6" t="s">
        <v>422</v>
      </c>
      <c r="K83" s="6">
        <v>1</v>
      </c>
      <c r="L83" s="6">
        <v>2</v>
      </c>
      <c r="M83" s="21">
        <v>784</v>
      </c>
      <c r="N83" s="6">
        <v>1</v>
      </c>
      <c r="O83" s="6">
        <v>0</v>
      </c>
      <c r="P83" s="6">
        <v>0</v>
      </c>
      <c r="Q83" s="6">
        <v>0</v>
      </c>
      <c r="R83" s="22">
        <v>0</v>
      </c>
      <c r="S83" s="22">
        <v>0</v>
      </c>
      <c r="T83" s="24">
        <v>0</v>
      </c>
      <c r="U83" s="24">
        <v>0</v>
      </c>
    </row>
    <row r="84" spans="1:21" x14ac:dyDescent="0.3">
      <c r="A84" s="6">
        <v>249</v>
      </c>
      <c r="B84" s="6" t="s">
        <v>421</v>
      </c>
      <c r="C84" s="6" t="s">
        <v>514</v>
      </c>
      <c r="D84" s="6" t="s">
        <v>564</v>
      </c>
      <c r="E84" s="15" t="s">
        <v>350</v>
      </c>
      <c r="F84" s="15">
        <v>0</v>
      </c>
      <c r="G84" s="6">
        <v>1</v>
      </c>
      <c r="H84" s="6">
        <v>3</v>
      </c>
      <c r="I84" s="6">
        <v>1</v>
      </c>
      <c r="J84" s="6" t="s">
        <v>445</v>
      </c>
      <c r="K84" s="6">
        <v>2</v>
      </c>
      <c r="L84" s="6">
        <v>2</v>
      </c>
      <c r="M84" s="21">
        <v>784</v>
      </c>
      <c r="N84" s="6">
        <v>3</v>
      </c>
      <c r="O84" s="6">
        <v>0</v>
      </c>
      <c r="P84" s="6">
        <v>0</v>
      </c>
      <c r="Q84" s="6">
        <v>0</v>
      </c>
      <c r="R84" s="22">
        <v>0</v>
      </c>
      <c r="S84" s="22">
        <v>0</v>
      </c>
      <c r="T84" s="24">
        <v>0</v>
      </c>
      <c r="U84" s="24">
        <v>0</v>
      </c>
    </row>
    <row r="85" spans="1:21" x14ac:dyDescent="0.3">
      <c r="A85" s="6">
        <v>250</v>
      </c>
      <c r="B85" s="6" t="s">
        <v>446</v>
      </c>
      <c r="C85" s="6" t="s">
        <v>515</v>
      </c>
      <c r="D85" s="6" t="s">
        <v>565</v>
      </c>
      <c r="E85" s="15" t="s">
        <v>351</v>
      </c>
      <c r="F85" s="15">
        <v>0</v>
      </c>
      <c r="G85" s="6">
        <v>1</v>
      </c>
      <c r="H85" s="6">
        <v>3</v>
      </c>
      <c r="I85" s="6">
        <v>2</v>
      </c>
      <c r="J85" s="6" t="s">
        <v>420</v>
      </c>
      <c r="K85" s="6">
        <v>2</v>
      </c>
      <c r="L85" s="6">
        <v>2</v>
      </c>
      <c r="M85" s="21">
        <v>784</v>
      </c>
      <c r="N85" s="6">
        <v>2</v>
      </c>
      <c r="O85" s="6">
        <v>0</v>
      </c>
      <c r="P85" s="6">
        <v>0</v>
      </c>
      <c r="Q85" s="6">
        <v>0</v>
      </c>
      <c r="R85" s="22">
        <v>0</v>
      </c>
      <c r="S85" s="22">
        <v>0</v>
      </c>
      <c r="T85" s="24">
        <v>0</v>
      </c>
      <c r="U85" s="24">
        <v>0</v>
      </c>
    </row>
    <row r="86" spans="1:21" x14ac:dyDescent="0.3">
      <c r="A86" s="6">
        <v>251</v>
      </c>
      <c r="B86" s="6" t="s">
        <v>425</v>
      </c>
      <c r="C86" s="6" t="s">
        <v>516</v>
      </c>
      <c r="D86" s="6" t="s">
        <v>566</v>
      </c>
      <c r="E86" s="15" t="s">
        <v>352</v>
      </c>
      <c r="F86" s="15">
        <v>0</v>
      </c>
      <c r="G86" s="6">
        <v>1</v>
      </c>
      <c r="H86" s="6">
        <v>3</v>
      </c>
      <c r="I86" s="6">
        <v>1</v>
      </c>
      <c r="J86" s="6" t="s">
        <v>443</v>
      </c>
      <c r="K86" s="6">
        <v>2</v>
      </c>
      <c r="L86" s="6">
        <v>2</v>
      </c>
      <c r="M86" s="21">
        <v>784</v>
      </c>
      <c r="N86" s="6">
        <v>1</v>
      </c>
      <c r="O86" s="6">
        <v>0</v>
      </c>
      <c r="P86" s="6">
        <v>0</v>
      </c>
      <c r="Q86" s="6">
        <v>0</v>
      </c>
      <c r="R86" s="22">
        <v>0</v>
      </c>
      <c r="S86" s="22">
        <v>0</v>
      </c>
      <c r="T86" s="24">
        <v>0</v>
      </c>
      <c r="U86" s="24">
        <v>0</v>
      </c>
    </row>
    <row r="87" spans="1:21" x14ac:dyDescent="0.3">
      <c r="A87" s="6">
        <v>252</v>
      </c>
      <c r="B87" s="6" t="s">
        <v>444</v>
      </c>
      <c r="C87" s="6" t="s">
        <v>517</v>
      </c>
      <c r="D87" s="6" t="s">
        <v>567</v>
      </c>
      <c r="E87" s="15" t="s">
        <v>353</v>
      </c>
      <c r="F87" s="15">
        <v>0</v>
      </c>
      <c r="G87" s="6">
        <v>1</v>
      </c>
      <c r="H87" s="6">
        <v>3</v>
      </c>
      <c r="I87" s="6">
        <v>2</v>
      </c>
      <c r="J87" s="6" t="s">
        <v>424</v>
      </c>
      <c r="K87" s="6">
        <v>2</v>
      </c>
      <c r="L87" s="6">
        <v>2</v>
      </c>
      <c r="M87" s="21">
        <v>784</v>
      </c>
      <c r="N87" s="6">
        <v>1</v>
      </c>
      <c r="O87" s="6">
        <v>0</v>
      </c>
      <c r="P87" s="6">
        <v>0</v>
      </c>
      <c r="Q87" s="6">
        <v>0</v>
      </c>
      <c r="R87" s="22">
        <v>0</v>
      </c>
      <c r="S87" s="22">
        <v>0</v>
      </c>
      <c r="T87" s="24">
        <v>0</v>
      </c>
      <c r="U87" s="24">
        <v>0</v>
      </c>
    </row>
    <row r="88" spans="1:21" x14ac:dyDescent="0.3">
      <c r="A88" s="6">
        <v>253</v>
      </c>
      <c r="B88" s="6" t="s">
        <v>427</v>
      </c>
      <c r="C88" s="6" t="s">
        <v>518</v>
      </c>
      <c r="D88" s="6" t="s">
        <v>568</v>
      </c>
      <c r="E88" s="15" t="s">
        <v>354</v>
      </c>
      <c r="F88" s="15">
        <v>0</v>
      </c>
      <c r="G88" s="6">
        <v>1</v>
      </c>
      <c r="H88" s="6">
        <v>3</v>
      </c>
      <c r="I88" s="6">
        <v>1</v>
      </c>
      <c r="J88" s="6" t="s">
        <v>441</v>
      </c>
      <c r="K88" s="6">
        <v>3</v>
      </c>
      <c r="L88" s="6">
        <v>2</v>
      </c>
      <c r="M88" s="21">
        <v>784</v>
      </c>
      <c r="N88" s="6">
        <v>4</v>
      </c>
      <c r="O88" s="6">
        <v>0</v>
      </c>
      <c r="P88" s="6">
        <v>0</v>
      </c>
      <c r="Q88" s="6">
        <v>0</v>
      </c>
      <c r="R88" s="22">
        <v>0</v>
      </c>
      <c r="S88" s="22">
        <v>0</v>
      </c>
      <c r="T88" s="24">
        <v>0</v>
      </c>
      <c r="U88" s="24">
        <v>0</v>
      </c>
    </row>
    <row r="89" spans="1:21" x14ac:dyDescent="0.3">
      <c r="A89" s="6">
        <v>254</v>
      </c>
      <c r="B89" s="6" t="s">
        <v>442</v>
      </c>
      <c r="C89" s="6" t="s">
        <v>519</v>
      </c>
      <c r="D89" s="6" t="s">
        <v>569</v>
      </c>
      <c r="E89" s="15" t="s">
        <v>355</v>
      </c>
      <c r="F89" s="15">
        <v>0</v>
      </c>
      <c r="G89" s="6">
        <v>1</v>
      </c>
      <c r="H89" s="6">
        <v>3</v>
      </c>
      <c r="I89" s="6">
        <v>2</v>
      </c>
      <c r="J89" s="6" t="s">
        <v>426</v>
      </c>
      <c r="K89" s="6">
        <v>3</v>
      </c>
      <c r="L89" s="6">
        <v>2</v>
      </c>
      <c r="M89" s="21">
        <v>784</v>
      </c>
      <c r="N89" s="6">
        <v>4</v>
      </c>
      <c r="O89" s="6">
        <v>0</v>
      </c>
      <c r="P89" s="6">
        <v>0</v>
      </c>
      <c r="Q89" s="6">
        <v>0</v>
      </c>
      <c r="R89" s="22">
        <v>0</v>
      </c>
      <c r="S89" s="22">
        <v>0</v>
      </c>
      <c r="T89" s="24">
        <v>0</v>
      </c>
      <c r="U89" s="24">
        <v>0</v>
      </c>
    </row>
    <row r="90" spans="1:21" x14ac:dyDescent="0.3">
      <c r="A90" s="6">
        <v>255</v>
      </c>
      <c r="B90" s="6" t="s">
        <v>429</v>
      </c>
      <c r="C90" s="6" t="s">
        <v>520</v>
      </c>
      <c r="D90" s="6" t="s">
        <v>570</v>
      </c>
      <c r="E90" s="15" t="s">
        <v>356</v>
      </c>
      <c r="F90" s="15">
        <v>0</v>
      </c>
      <c r="G90" s="6">
        <v>1</v>
      </c>
      <c r="H90" s="6">
        <v>3</v>
      </c>
      <c r="I90" s="6">
        <v>1</v>
      </c>
      <c r="J90" s="6" t="s">
        <v>439</v>
      </c>
      <c r="K90" s="6">
        <v>2</v>
      </c>
      <c r="L90" s="6">
        <v>2</v>
      </c>
      <c r="M90" s="21">
        <v>784</v>
      </c>
      <c r="N90" s="6">
        <v>0</v>
      </c>
      <c r="O90" s="6">
        <v>0</v>
      </c>
      <c r="P90" s="6">
        <v>0</v>
      </c>
      <c r="Q90" s="6">
        <v>0</v>
      </c>
      <c r="R90" s="22">
        <v>0</v>
      </c>
      <c r="S90" s="22">
        <v>0</v>
      </c>
      <c r="T90" s="24">
        <v>0</v>
      </c>
      <c r="U90" s="24">
        <v>0</v>
      </c>
    </row>
    <row r="91" spans="1:21" x14ac:dyDescent="0.3">
      <c r="A91" s="6">
        <v>256</v>
      </c>
      <c r="B91" s="6" t="s">
        <v>440</v>
      </c>
      <c r="C91" s="6" t="s">
        <v>521</v>
      </c>
      <c r="D91" s="6" t="s">
        <v>571</v>
      </c>
      <c r="E91" s="15" t="s">
        <v>357</v>
      </c>
      <c r="F91" s="15">
        <v>0</v>
      </c>
      <c r="G91" s="6">
        <v>1</v>
      </c>
      <c r="H91" s="6">
        <v>3</v>
      </c>
      <c r="I91" s="6">
        <v>2</v>
      </c>
      <c r="J91" s="6" t="s">
        <v>428</v>
      </c>
      <c r="K91" s="6">
        <v>2</v>
      </c>
      <c r="L91" s="6">
        <v>2</v>
      </c>
      <c r="M91" s="21">
        <v>784</v>
      </c>
      <c r="N91" s="6">
        <v>0</v>
      </c>
      <c r="O91" s="6">
        <v>0</v>
      </c>
      <c r="P91" s="6">
        <v>0</v>
      </c>
      <c r="Q91" s="6">
        <v>0</v>
      </c>
      <c r="R91" s="22">
        <v>0</v>
      </c>
      <c r="S91" s="22">
        <v>0</v>
      </c>
      <c r="T91" s="24">
        <v>0</v>
      </c>
      <c r="U91" s="24">
        <v>0</v>
      </c>
    </row>
    <row r="92" spans="1:21" x14ac:dyDescent="0.3">
      <c r="A92" s="6">
        <v>257</v>
      </c>
      <c r="B92" s="6" t="s">
        <v>431</v>
      </c>
      <c r="C92" s="6" t="s">
        <v>522</v>
      </c>
      <c r="D92" s="6" t="s">
        <v>572</v>
      </c>
      <c r="E92" s="15" t="s">
        <v>358</v>
      </c>
      <c r="F92" s="15">
        <v>0</v>
      </c>
      <c r="G92" s="6">
        <v>1</v>
      </c>
      <c r="H92" s="6">
        <v>3</v>
      </c>
      <c r="I92" s="6">
        <v>1</v>
      </c>
      <c r="J92" s="6" t="s">
        <v>437</v>
      </c>
      <c r="K92" s="6">
        <v>3</v>
      </c>
      <c r="L92" s="6">
        <v>2</v>
      </c>
      <c r="M92" s="21">
        <v>784</v>
      </c>
      <c r="N92" s="6">
        <v>2</v>
      </c>
      <c r="O92" s="6">
        <v>0</v>
      </c>
      <c r="P92" s="6">
        <v>0</v>
      </c>
      <c r="Q92" s="6">
        <v>0</v>
      </c>
      <c r="R92" s="22">
        <v>0</v>
      </c>
      <c r="S92" s="22">
        <v>0</v>
      </c>
      <c r="T92" s="24">
        <v>0</v>
      </c>
      <c r="U92" s="24">
        <v>0</v>
      </c>
    </row>
    <row r="93" spans="1:21" x14ac:dyDescent="0.3">
      <c r="A93" s="6">
        <v>258</v>
      </c>
      <c r="B93" s="6" t="s">
        <v>438</v>
      </c>
      <c r="C93" s="6" t="s">
        <v>523</v>
      </c>
      <c r="D93" s="6" t="s">
        <v>573</v>
      </c>
      <c r="E93" s="15" t="s">
        <v>359</v>
      </c>
      <c r="F93" s="15">
        <v>0</v>
      </c>
      <c r="G93" s="6">
        <v>1</v>
      </c>
      <c r="H93" s="6">
        <v>3</v>
      </c>
      <c r="I93" s="6">
        <v>2</v>
      </c>
      <c r="J93" s="6" t="s">
        <v>430</v>
      </c>
      <c r="K93" s="6">
        <v>3</v>
      </c>
      <c r="L93" s="6">
        <v>2</v>
      </c>
      <c r="M93" s="21">
        <v>784</v>
      </c>
      <c r="N93" s="6">
        <v>2</v>
      </c>
      <c r="O93" s="6">
        <v>0</v>
      </c>
      <c r="P93" s="6">
        <v>0</v>
      </c>
      <c r="Q93" s="6">
        <v>0</v>
      </c>
      <c r="R93" s="22">
        <v>0</v>
      </c>
      <c r="S93" s="22">
        <v>0</v>
      </c>
      <c r="T93" s="24">
        <v>0</v>
      </c>
      <c r="U93" s="24">
        <v>0</v>
      </c>
    </row>
  </sheetData>
  <mergeCells count="8">
    <mergeCell ref="AB12:AC12"/>
    <mergeCell ref="AE9:AF9"/>
    <mergeCell ref="AE14:AF14"/>
    <mergeCell ref="X2:Z2"/>
    <mergeCell ref="AB3:AC3"/>
    <mergeCell ref="AB7:AC7"/>
    <mergeCell ref="AE3:AG3"/>
    <mergeCell ref="AE4:AF4"/>
  </mergeCells>
  <phoneticPr fontId="2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468B9F-9435-4B76-A401-735E9F5DF5E6}">
  <sheetPr codeName="Sheet5"/>
  <dimension ref="A1:Z35"/>
  <sheetViews>
    <sheetView workbookViewId="0">
      <selection activeCell="C66" sqref="C66"/>
    </sheetView>
  </sheetViews>
  <sheetFormatPr defaultRowHeight="12" x14ac:dyDescent="0.3"/>
  <cols>
    <col min="1" max="1" width="9" style="3"/>
    <col min="2" max="2" width="14.625" style="3" bestFit="1" customWidth="1"/>
    <col min="3" max="3" width="9" style="3"/>
    <col min="4" max="4" width="8.875" style="3" customWidth="1"/>
    <col min="5" max="13" width="9" style="3"/>
    <col min="14" max="14" width="2.875" style="17" customWidth="1"/>
    <col min="15" max="24" width="0" style="2" hidden="1" customWidth="1"/>
    <col min="25" max="26" width="9" style="1"/>
    <col min="27" max="16384" width="9" style="16"/>
  </cols>
  <sheetData>
    <row r="1" spans="1:26" s="18" customFormat="1" x14ac:dyDescent="0.3">
      <c r="A1" s="2" t="s">
        <v>107</v>
      </c>
      <c r="B1" s="2" t="s">
        <v>89</v>
      </c>
      <c r="C1" s="2" t="s">
        <v>288</v>
      </c>
      <c r="D1" s="2">
        <v>1</v>
      </c>
      <c r="E1" s="2">
        <v>2</v>
      </c>
      <c r="F1" s="2" t="s">
        <v>360</v>
      </c>
      <c r="G1" s="2" t="s">
        <v>361</v>
      </c>
      <c r="H1" s="2" t="s">
        <v>362</v>
      </c>
      <c r="I1" s="2" t="s">
        <v>290</v>
      </c>
      <c r="J1" s="2" t="s">
        <v>292</v>
      </c>
      <c r="K1" s="2" t="s">
        <v>294</v>
      </c>
      <c r="L1" s="2" t="s">
        <v>364</v>
      </c>
      <c r="M1" s="2" t="s">
        <v>363</v>
      </c>
      <c r="N1" s="12"/>
      <c r="O1" s="19">
        <v>1</v>
      </c>
      <c r="P1" s="19">
        <v>2</v>
      </c>
      <c r="Q1" s="19">
        <v>3</v>
      </c>
      <c r="R1" s="19">
        <v>4</v>
      </c>
      <c r="S1" s="19">
        <v>5</v>
      </c>
      <c r="T1" s="19">
        <v>6</v>
      </c>
      <c r="U1" s="19">
        <v>7</v>
      </c>
      <c r="V1" s="19">
        <v>8</v>
      </c>
      <c r="W1" s="19">
        <v>9</v>
      </c>
      <c r="X1" s="19">
        <v>10</v>
      </c>
      <c r="Y1" s="11"/>
      <c r="Z1" s="11"/>
    </row>
    <row r="2" spans="1:26" x14ac:dyDescent="0.3">
      <c r="A2" s="3">
        <v>101</v>
      </c>
      <c r="B2" s="3" t="str">
        <f>INDEX('02.CardData'!E:E,MATCH('카드 태그 계산기'!A2,'02.CardData'!A:A,0))</f>
        <v>삽</v>
      </c>
      <c r="C2" s="3">
        <f>SUM(O2:X2)</f>
        <v>32</v>
      </c>
      <c r="D2" s="3">
        <v>0</v>
      </c>
      <c r="E2" s="3">
        <v>0</v>
      </c>
      <c r="F2" s="3">
        <v>0</v>
      </c>
      <c r="G2" s="3">
        <v>0</v>
      </c>
      <c r="H2" s="3">
        <v>0</v>
      </c>
      <c r="I2" s="3" t="b">
        <v>1</v>
      </c>
      <c r="J2" s="3">
        <v>0</v>
      </c>
      <c r="K2" s="3">
        <v>0</v>
      </c>
      <c r="L2" s="3">
        <v>0</v>
      </c>
      <c r="M2" s="3">
        <v>0</v>
      </c>
      <c r="O2" s="2">
        <f>IF(D2&lt;&gt;0,2^(O$1-1),0)</f>
        <v>0</v>
      </c>
      <c r="P2" s="2">
        <f t="shared" ref="P2:X2" si="0">IF(E2&lt;&gt;0,2^(P$1-1),0)</f>
        <v>0</v>
      </c>
      <c r="Q2" s="2">
        <f t="shared" si="0"/>
        <v>0</v>
      </c>
      <c r="R2" s="2">
        <f t="shared" si="0"/>
        <v>0</v>
      </c>
      <c r="S2" s="2">
        <f t="shared" si="0"/>
        <v>0</v>
      </c>
      <c r="T2" s="2">
        <f t="shared" si="0"/>
        <v>32</v>
      </c>
      <c r="U2" s="2">
        <f t="shared" si="0"/>
        <v>0</v>
      </c>
      <c r="V2" s="2">
        <f t="shared" si="0"/>
        <v>0</v>
      </c>
      <c r="W2" s="2">
        <f t="shared" si="0"/>
        <v>0</v>
      </c>
      <c r="X2" s="2">
        <f t="shared" si="0"/>
        <v>0</v>
      </c>
    </row>
    <row r="3" spans="1:26" x14ac:dyDescent="0.3">
      <c r="A3" s="3">
        <v>102</v>
      </c>
      <c r="B3" s="3" t="str">
        <f>INDEX('02.CardData'!E:E,MATCH('카드 태그 계산기'!A3,'02.CardData'!A:A,0))</f>
        <v>갈퀴</v>
      </c>
      <c r="C3" s="3">
        <f t="shared" ref="C3:C35" si="1">SUM(O3:X3)</f>
        <v>32</v>
      </c>
      <c r="D3" s="3">
        <v>0</v>
      </c>
      <c r="E3" s="3">
        <v>0</v>
      </c>
      <c r="F3" s="3">
        <v>0</v>
      </c>
      <c r="G3" s="3">
        <v>0</v>
      </c>
      <c r="H3" s="3">
        <v>0</v>
      </c>
      <c r="I3" s="3" t="b">
        <v>1</v>
      </c>
      <c r="J3" s="3">
        <v>0</v>
      </c>
      <c r="K3" s="3">
        <v>0</v>
      </c>
      <c r="L3" s="3">
        <v>0</v>
      </c>
      <c r="M3" s="3">
        <v>0</v>
      </c>
      <c r="O3" s="2">
        <f t="shared" ref="O3:O14" si="2">IF(D3&lt;&gt;0,2^(O$1-1),0)</f>
        <v>0</v>
      </c>
      <c r="P3" s="2">
        <f t="shared" ref="P3:P14" si="3">IF(E3&lt;&gt;0,2^(P$1-1),0)</f>
        <v>0</v>
      </c>
      <c r="Q3" s="2">
        <f t="shared" ref="Q3:Q14" si="4">IF(F3&lt;&gt;0,2^(Q$1-1),0)</f>
        <v>0</v>
      </c>
      <c r="R3" s="2">
        <f t="shared" ref="R3:R14" si="5">IF(G3&lt;&gt;0,2^(R$1-1),0)</f>
        <v>0</v>
      </c>
      <c r="S3" s="2">
        <f t="shared" ref="S3:S14" si="6">IF(H3&lt;&gt;0,2^(S$1-1),0)</f>
        <v>0</v>
      </c>
      <c r="T3" s="2">
        <f t="shared" ref="T3:T14" si="7">IF(I3&lt;&gt;0,2^(T$1-1),0)</f>
        <v>32</v>
      </c>
      <c r="U3" s="2">
        <f t="shared" ref="U3:U14" si="8">IF(J3&lt;&gt;0,2^(U$1-1),0)</f>
        <v>0</v>
      </c>
      <c r="V3" s="2">
        <f t="shared" ref="V3:V14" si="9">IF(K3&lt;&gt;0,2^(V$1-1),0)</f>
        <v>0</v>
      </c>
      <c r="W3" s="2">
        <f t="shared" ref="W3:W14" si="10">IF(L3&lt;&gt;0,2^(W$1-1),0)</f>
        <v>0</v>
      </c>
      <c r="X3" s="2">
        <f t="shared" ref="X3:X14" si="11">IF(M3&lt;&gt;0,2^(X$1-1),0)</f>
        <v>0</v>
      </c>
    </row>
    <row r="4" spans="1:26" x14ac:dyDescent="0.3">
      <c r="A4" s="3">
        <v>103</v>
      </c>
      <c r="B4" s="3" t="str">
        <f>INDEX('02.CardData'!E:E,MATCH('카드 태그 계산기'!A4,'02.CardData'!A:A,0))</f>
        <v>삽+</v>
      </c>
      <c r="C4" s="3">
        <f t="shared" si="1"/>
        <v>32</v>
      </c>
      <c r="D4" s="3">
        <v>0</v>
      </c>
      <c r="E4" s="3">
        <v>0</v>
      </c>
      <c r="F4" s="3">
        <v>0</v>
      </c>
      <c r="G4" s="3">
        <v>0</v>
      </c>
      <c r="H4" s="3">
        <v>0</v>
      </c>
      <c r="I4" s="3" t="b">
        <v>1</v>
      </c>
      <c r="J4" s="3">
        <v>0</v>
      </c>
      <c r="K4" s="3">
        <v>0</v>
      </c>
      <c r="L4" s="3">
        <v>0</v>
      </c>
      <c r="M4" s="3">
        <v>0</v>
      </c>
      <c r="O4" s="2">
        <f t="shared" si="2"/>
        <v>0</v>
      </c>
      <c r="P4" s="2">
        <f t="shared" si="3"/>
        <v>0</v>
      </c>
      <c r="Q4" s="2">
        <f t="shared" si="4"/>
        <v>0</v>
      </c>
      <c r="R4" s="2">
        <f t="shared" si="5"/>
        <v>0</v>
      </c>
      <c r="S4" s="2">
        <f t="shared" si="6"/>
        <v>0</v>
      </c>
      <c r="T4" s="2">
        <f t="shared" si="7"/>
        <v>32</v>
      </c>
      <c r="U4" s="2">
        <f t="shared" si="8"/>
        <v>0</v>
      </c>
      <c r="V4" s="2">
        <f t="shared" si="9"/>
        <v>0</v>
      </c>
      <c r="W4" s="2">
        <f t="shared" si="10"/>
        <v>0</v>
      </c>
      <c r="X4" s="2">
        <f t="shared" si="11"/>
        <v>0</v>
      </c>
    </row>
    <row r="5" spans="1:26" x14ac:dyDescent="0.3">
      <c r="A5" s="3">
        <v>104</v>
      </c>
      <c r="B5" s="3" t="str">
        <f>INDEX('02.CardData'!E:E,MATCH('카드 태그 계산기'!A5,'02.CardData'!A:A,0))</f>
        <v>갈퀴+</v>
      </c>
      <c r="C5" s="3">
        <f t="shared" si="1"/>
        <v>32</v>
      </c>
      <c r="D5" s="3">
        <v>0</v>
      </c>
      <c r="E5" s="3">
        <v>0</v>
      </c>
      <c r="F5" s="3">
        <v>0</v>
      </c>
      <c r="G5" s="3">
        <v>0</v>
      </c>
      <c r="H5" s="3">
        <v>0</v>
      </c>
      <c r="I5" s="3" t="b">
        <v>1</v>
      </c>
      <c r="J5" s="3">
        <v>0</v>
      </c>
      <c r="K5" s="3">
        <v>0</v>
      </c>
      <c r="L5" s="3">
        <v>0</v>
      </c>
      <c r="M5" s="3">
        <v>0</v>
      </c>
      <c r="O5" s="2">
        <f t="shared" si="2"/>
        <v>0</v>
      </c>
      <c r="P5" s="2">
        <f t="shared" si="3"/>
        <v>0</v>
      </c>
      <c r="Q5" s="2">
        <f t="shared" si="4"/>
        <v>0</v>
      </c>
      <c r="R5" s="2">
        <f t="shared" si="5"/>
        <v>0</v>
      </c>
      <c r="S5" s="2">
        <f t="shared" si="6"/>
        <v>0</v>
      </c>
      <c r="T5" s="2">
        <f t="shared" si="7"/>
        <v>32</v>
      </c>
      <c r="U5" s="2">
        <f t="shared" si="8"/>
        <v>0</v>
      </c>
      <c r="V5" s="2">
        <f t="shared" si="9"/>
        <v>0</v>
      </c>
      <c r="W5" s="2">
        <f t="shared" si="10"/>
        <v>0</v>
      </c>
      <c r="X5" s="2">
        <f t="shared" si="11"/>
        <v>0</v>
      </c>
    </row>
    <row r="6" spans="1:26" x14ac:dyDescent="0.3">
      <c r="A6" s="3">
        <v>105</v>
      </c>
      <c r="B6" s="3" t="str">
        <f>INDEX('02.CardData'!E:E,MATCH('카드 태그 계산기'!A6,'02.CardData'!A:A,0))</f>
        <v>황금 삽</v>
      </c>
      <c r="C6" s="3">
        <f t="shared" si="1"/>
        <v>96</v>
      </c>
      <c r="D6" s="3">
        <v>0</v>
      </c>
      <c r="E6" s="3">
        <v>0</v>
      </c>
      <c r="F6" s="3">
        <v>0</v>
      </c>
      <c r="G6" s="3">
        <v>0</v>
      </c>
      <c r="H6" s="3">
        <v>0</v>
      </c>
      <c r="I6" s="3" t="b">
        <v>1</v>
      </c>
      <c r="J6" s="3" t="b">
        <v>1</v>
      </c>
      <c r="K6" s="3">
        <v>0</v>
      </c>
      <c r="L6" s="3">
        <v>0</v>
      </c>
      <c r="M6" s="3">
        <v>0</v>
      </c>
      <c r="O6" s="2">
        <f t="shared" si="2"/>
        <v>0</v>
      </c>
      <c r="P6" s="2">
        <f t="shared" si="3"/>
        <v>0</v>
      </c>
      <c r="Q6" s="2">
        <f t="shared" si="4"/>
        <v>0</v>
      </c>
      <c r="R6" s="2">
        <f t="shared" si="5"/>
        <v>0</v>
      </c>
      <c r="S6" s="2">
        <f t="shared" si="6"/>
        <v>0</v>
      </c>
      <c r="T6" s="2">
        <f t="shared" si="7"/>
        <v>32</v>
      </c>
      <c r="U6" s="2">
        <f t="shared" si="8"/>
        <v>64</v>
      </c>
      <c r="V6" s="2">
        <f t="shared" si="9"/>
        <v>0</v>
      </c>
      <c r="W6" s="2">
        <f t="shared" si="10"/>
        <v>0</v>
      </c>
      <c r="X6" s="2">
        <f t="shared" si="11"/>
        <v>0</v>
      </c>
    </row>
    <row r="7" spans="1:26" x14ac:dyDescent="0.3">
      <c r="A7" s="3">
        <v>106</v>
      </c>
      <c r="B7" s="3" t="str">
        <f>INDEX('02.CardData'!E:E,MATCH('카드 태그 계산기'!A7,'02.CardData'!A:A,0))</f>
        <v>황금 삽+</v>
      </c>
      <c r="C7" s="3">
        <f t="shared" si="1"/>
        <v>96</v>
      </c>
      <c r="D7" s="3">
        <v>0</v>
      </c>
      <c r="E7" s="3">
        <v>0</v>
      </c>
      <c r="F7" s="3">
        <v>0</v>
      </c>
      <c r="G7" s="3">
        <v>0</v>
      </c>
      <c r="H7" s="3">
        <v>0</v>
      </c>
      <c r="I7" s="3" t="b">
        <v>1</v>
      </c>
      <c r="J7" s="3" t="b">
        <v>1</v>
      </c>
      <c r="K7" s="3">
        <v>0</v>
      </c>
      <c r="L7" s="3">
        <v>0</v>
      </c>
      <c r="M7" s="3">
        <v>0</v>
      </c>
      <c r="O7" s="2">
        <f t="shared" si="2"/>
        <v>0</v>
      </c>
      <c r="P7" s="2">
        <f t="shared" si="3"/>
        <v>0</v>
      </c>
      <c r="Q7" s="2">
        <f t="shared" si="4"/>
        <v>0</v>
      </c>
      <c r="R7" s="2">
        <f t="shared" si="5"/>
        <v>0</v>
      </c>
      <c r="S7" s="2">
        <f t="shared" si="6"/>
        <v>0</v>
      </c>
      <c r="T7" s="2">
        <f t="shared" si="7"/>
        <v>32</v>
      </c>
      <c r="U7" s="2">
        <f t="shared" si="8"/>
        <v>64</v>
      </c>
      <c r="V7" s="2">
        <f t="shared" si="9"/>
        <v>0</v>
      </c>
      <c r="W7" s="2">
        <f t="shared" si="10"/>
        <v>0</v>
      </c>
      <c r="X7" s="2">
        <f t="shared" si="11"/>
        <v>0</v>
      </c>
    </row>
    <row r="8" spans="1:26" x14ac:dyDescent="0.3">
      <c r="A8" s="3">
        <v>107</v>
      </c>
      <c r="B8" s="3" t="str">
        <f>INDEX('02.CardData'!E:E,MATCH('카드 태그 계산기'!A8,'02.CardData'!A:A,0))</f>
        <v>도끼</v>
      </c>
      <c r="C8" s="3">
        <f t="shared" si="1"/>
        <v>32</v>
      </c>
      <c r="D8" s="3">
        <v>0</v>
      </c>
      <c r="E8" s="3">
        <v>0</v>
      </c>
      <c r="F8" s="3">
        <v>0</v>
      </c>
      <c r="G8" s="3">
        <v>0</v>
      </c>
      <c r="H8" s="3">
        <v>0</v>
      </c>
      <c r="I8" s="3" t="b">
        <v>1</v>
      </c>
      <c r="J8" s="3">
        <v>0</v>
      </c>
      <c r="K8" s="3">
        <v>0</v>
      </c>
      <c r="L8" s="3">
        <v>0</v>
      </c>
      <c r="M8" s="3">
        <v>0</v>
      </c>
      <c r="O8" s="2">
        <f t="shared" si="2"/>
        <v>0</v>
      </c>
      <c r="P8" s="2">
        <f t="shared" si="3"/>
        <v>0</v>
      </c>
      <c r="Q8" s="2">
        <f t="shared" si="4"/>
        <v>0</v>
      </c>
      <c r="R8" s="2">
        <f t="shared" si="5"/>
        <v>0</v>
      </c>
      <c r="S8" s="2">
        <f t="shared" si="6"/>
        <v>0</v>
      </c>
      <c r="T8" s="2">
        <f t="shared" si="7"/>
        <v>32</v>
      </c>
      <c r="U8" s="2">
        <f t="shared" si="8"/>
        <v>0</v>
      </c>
      <c r="V8" s="2">
        <f t="shared" si="9"/>
        <v>0</v>
      </c>
      <c r="W8" s="2">
        <f t="shared" si="10"/>
        <v>0</v>
      </c>
      <c r="X8" s="2">
        <f t="shared" si="11"/>
        <v>0</v>
      </c>
    </row>
    <row r="9" spans="1:26" x14ac:dyDescent="0.3">
      <c r="A9" s="3">
        <v>108</v>
      </c>
      <c r="B9" s="3" t="str">
        <f>INDEX('02.CardData'!E:E,MATCH('카드 태그 계산기'!A9,'02.CardData'!A:A,0))</f>
        <v>도끼+</v>
      </c>
      <c r="C9" s="3">
        <f t="shared" si="1"/>
        <v>32</v>
      </c>
      <c r="D9" s="3">
        <v>0</v>
      </c>
      <c r="E9" s="3">
        <v>0</v>
      </c>
      <c r="F9" s="3">
        <v>0</v>
      </c>
      <c r="G9" s="3">
        <v>0</v>
      </c>
      <c r="H9" s="3">
        <v>0</v>
      </c>
      <c r="I9" s="3" t="b">
        <v>1</v>
      </c>
      <c r="J9" s="3">
        <v>0</v>
      </c>
      <c r="K9" s="3">
        <v>0</v>
      </c>
      <c r="L9" s="3">
        <v>0</v>
      </c>
      <c r="M9" s="3">
        <v>0</v>
      </c>
      <c r="O9" s="2">
        <f t="shared" si="2"/>
        <v>0</v>
      </c>
      <c r="P9" s="2">
        <f t="shared" si="3"/>
        <v>0</v>
      </c>
      <c r="Q9" s="2">
        <f t="shared" si="4"/>
        <v>0</v>
      </c>
      <c r="R9" s="2">
        <f t="shared" si="5"/>
        <v>0</v>
      </c>
      <c r="S9" s="2">
        <f t="shared" si="6"/>
        <v>0</v>
      </c>
      <c r="T9" s="2">
        <f t="shared" si="7"/>
        <v>32</v>
      </c>
      <c r="U9" s="2">
        <f t="shared" si="8"/>
        <v>0</v>
      </c>
      <c r="V9" s="2">
        <f t="shared" si="9"/>
        <v>0</v>
      </c>
      <c r="W9" s="2">
        <f t="shared" si="10"/>
        <v>0</v>
      </c>
      <c r="X9" s="2">
        <f t="shared" si="11"/>
        <v>0</v>
      </c>
    </row>
    <row r="10" spans="1:26" x14ac:dyDescent="0.3">
      <c r="A10" s="3">
        <v>109</v>
      </c>
      <c r="B10" s="3" t="str">
        <f>INDEX('02.CardData'!E:E,MATCH('카드 태그 계산기'!A10,'02.CardData'!A:A,0))</f>
        <v>십자 끌</v>
      </c>
      <c r="C10" s="3">
        <f t="shared" si="1"/>
        <v>32</v>
      </c>
      <c r="D10" s="3">
        <v>0</v>
      </c>
      <c r="E10" s="3">
        <v>0</v>
      </c>
      <c r="F10" s="3">
        <v>0</v>
      </c>
      <c r="G10" s="3">
        <v>0</v>
      </c>
      <c r="H10" s="3">
        <v>0</v>
      </c>
      <c r="I10" s="3" t="b">
        <v>1</v>
      </c>
      <c r="J10" s="3">
        <v>0</v>
      </c>
      <c r="K10" s="3">
        <v>0</v>
      </c>
      <c r="L10" s="3">
        <v>0</v>
      </c>
      <c r="M10" s="3">
        <v>0</v>
      </c>
      <c r="O10" s="2">
        <f t="shared" si="2"/>
        <v>0</v>
      </c>
      <c r="P10" s="2">
        <f t="shared" si="3"/>
        <v>0</v>
      </c>
      <c r="Q10" s="2">
        <f t="shared" si="4"/>
        <v>0</v>
      </c>
      <c r="R10" s="2">
        <f t="shared" si="5"/>
        <v>0</v>
      </c>
      <c r="S10" s="2">
        <f t="shared" si="6"/>
        <v>0</v>
      </c>
      <c r="T10" s="2">
        <f t="shared" si="7"/>
        <v>32</v>
      </c>
      <c r="U10" s="2">
        <f t="shared" si="8"/>
        <v>0</v>
      </c>
      <c r="V10" s="2">
        <f t="shared" si="9"/>
        <v>0</v>
      </c>
      <c r="W10" s="2">
        <f t="shared" si="10"/>
        <v>0</v>
      </c>
      <c r="X10" s="2">
        <f t="shared" si="11"/>
        <v>0</v>
      </c>
    </row>
    <row r="11" spans="1:26" x14ac:dyDescent="0.3">
      <c r="A11" s="3">
        <v>110</v>
      </c>
      <c r="B11" s="3" t="str">
        <f>INDEX('02.CardData'!E:E,MATCH('카드 태그 계산기'!A11,'02.CardData'!A:A,0))</f>
        <v>십자 끌+</v>
      </c>
      <c r="C11" s="3">
        <f t="shared" si="1"/>
        <v>32</v>
      </c>
      <c r="D11" s="3">
        <v>0</v>
      </c>
      <c r="E11" s="3">
        <v>0</v>
      </c>
      <c r="F11" s="3">
        <v>0</v>
      </c>
      <c r="G11" s="3">
        <v>0</v>
      </c>
      <c r="H11" s="3">
        <v>0</v>
      </c>
      <c r="I11" s="3" t="b">
        <v>1</v>
      </c>
      <c r="J11" s="3">
        <v>0</v>
      </c>
      <c r="K11" s="3">
        <v>0</v>
      </c>
      <c r="L11" s="3">
        <v>0</v>
      </c>
      <c r="M11" s="3">
        <v>0</v>
      </c>
      <c r="O11" s="2">
        <f t="shared" si="2"/>
        <v>0</v>
      </c>
      <c r="P11" s="2">
        <f t="shared" si="3"/>
        <v>0</v>
      </c>
      <c r="Q11" s="2">
        <f t="shared" si="4"/>
        <v>0</v>
      </c>
      <c r="R11" s="2">
        <f t="shared" si="5"/>
        <v>0</v>
      </c>
      <c r="S11" s="2">
        <f t="shared" si="6"/>
        <v>0</v>
      </c>
      <c r="T11" s="2">
        <f t="shared" si="7"/>
        <v>32</v>
      </c>
      <c r="U11" s="2">
        <f t="shared" si="8"/>
        <v>0</v>
      </c>
      <c r="V11" s="2">
        <f t="shared" si="9"/>
        <v>0</v>
      </c>
      <c r="W11" s="2">
        <f t="shared" si="10"/>
        <v>0</v>
      </c>
      <c r="X11" s="2">
        <f t="shared" si="11"/>
        <v>0</v>
      </c>
    </row>
    <row r="12" spans="1:26" x14ac:dyDescent="0.3">
      <c r="A12" s="3">
        <v>111</v>
      </c>
      <c r="B12" s="3" t="str">
        <f>INDEX('02.CardData'!E:E,MATCH('카드 태그 계산기'!A12,'02.CardData'!A:A,0))</f>
        <v>곡괭이</v>
      </c>
      <c r="C12" s="3">
        <f t="shared" si="1"/>
        <v>32</v>
      </c>
      <c r="D12" s="3">
        <v>0</v>
      </c>
      <c r="E12" s="3">
        <v>0</v>
      </c>
      <c r="F12" s="3">
        <v>0</v>
      </c>
      <c r="G12" s="3">
        <v>0</v>
      </c>
      <c r="H12" s="3">
        <v>0</v>
      </c>
      <c r="I12" s="3" t="b">
        <v>1</v>
      </c>
      <c r="J12" s="3">
        <v>0</v>
      </c>
      <c r="K12" s="3">
        <v>0</v>
      </c>
      <c r="L12" s="3">
        <v>0</v>
      </c>
      <c r="M12" s="3">
        <v>0</v>
      </c>
      <c r="O12" s="2">
        <f t="shared" si="2"/>
        <v>0</v>
      </c>
      <c r="P12" s="2">
        <f t="shared" si="3"/>
        <v>0</v>
      </c>
      <c r="Q12" s="2">
        <f t="shared" si="4"/>
        <v>0</v>
      </c>
      <c r="R12" s="2">
        <f t="shared" si="5"/>
        <v>0</v>
      </c>
      <c r="S12" s="2">
        <f t="shared" si="6"/>
        <v>0</v>
      </c>
      <c r="T12" s="2">
        <f t="shared" si="7"/>
        <v>32</v>
      </c>
      <c r="U12" s="2">
        <f t="shared" si="8"/>
        <v>0</v>
      </c>
      <c r="V12" s="2">
        <f t="shared" si="9"/>
        <v>0</v>
      </c>
      <c r="W12" s="2">
        <f t="shared" si="10"/>
        <v>0</v>
      </c>
      <c r="X12" s="2">
        <f t="shared" si="11"/>
        <v>0</v>
      </c>
    </row>
    <row r="13" spans="1:26" x14ac:dyDescent="0.3">
      <c r="A13" s="3">
        <v>112</v>
      </c>
      <c r="B13" s="3" t="str">
        <f>INDEX('02.CardData'!E:E,MATCH('카드 태그 계산기'!A13,'02.CardData'!A:A,0))</f>
        <v>곡괭이+</v>
      </c>
      <c r="C13" s="3">
        <f t="shared" si="1"/>
        <v>32</v>
      </c>
      <c r="D13" s="3">
        <v>0</v>
      </c>
      <c r="E13" s="3">
        <v>0</v>
      </c>
      <c r="F13" s="3">
        <v>0</v>
      </c>
      <c r="G13" s="3">
        <v>0</v>
      </c>
      <c r="H13" s="3">
        <v>0</v>
      </c>
      <c r="I13" s="3" t="b">
        <v>1</v>
      </c>
      <c r="J13" s="3">
        <v>0</v>
      </c>
      <c r="K13" s="3">
        <v>0</v>
      </c>
      <c r="L13" s="3">
        <v>0</v>
      </c>
      <c r="M13" s="3">
        <v>0</v>
      </c>
      <c r="O13" s="2">
        <f t="shared" si="2"/>
        <v>0</v>
      </c>
      <c r="P13" s="2">
        <f t="shared" si="3"/>
        <v>0</v>
      </c>
      <c r="Q13" s="2">
        <f t="shared" si="4"/>
        <v>0</v>
      </c>
      <c r="R13" s="2">
        <f t="shared" si="5"/>
        <v>0</v>
      </c>
      <c r="S13" s="2">
        <f t="shared" si="6"/>
        <v>0</v>
      </c>
      <c r="T13" s="2">
        <f t="shared" si="7"/>
        <v>32</v>
      </c>
      <c r="U13" s="2">
        <f t="shared" si="8"/>
        <v>0</v>
      </c>
      <c r="V13" s="2">
        <f t="shared" si="9"/>
        <v>0</v>
      </c>
      <c r="W13" s="2">
        <f t="shared" si="10"/>
        <v>0</v>
      </c>
      <c r="X13" s="2">
        <f t="shared" si="11"/>
        <v>0</v>
      </c>
    </row>
    <row r="14" spans="1:26" x14ac:dyDescent="0.3">
      <c r="A14" s="3">
        <v>113</v>
      </c>
      <c r="B14" s="3" t="str">
        <f>INDEX('02.CardData'!E:E,MATCH('카드 태그 계산기'!A14,'02.CardData'!A:A,0))</f>
        <v>새총</v>
      </c>
      <c r="C14" s="3">
        <f t="shared" si="1"/>
        <v>32</v>
      </c>
      <c r="D14" s="3">
        <v>0</v>
      </c>
      <c r="E14" s="3">
        <v>0</v>
      </c>
      <c r="F14" s="3">
        <v>0</v>
      </c>
      <c r="G14" s="3">
        <v>0</v>
      </c>
      <c r="H14" s="3">
        <v>0</v>
      </c>
      <c r="I14" s="3" t="b">
        <v>1</v>
      </c>
      <c r="J14" s="3">
        <v>0</v>
      </c>
      <c r="K14" s="3">
        <v>0</v>
      </c>
      <c r="L14" s="3">
        <v>0</v>
      </c>
      <c r="M14" s="3">
        <v>0</v>
      </c>
      <c r="O14" s="2">
        <f t="shared" si="2"/>
        <v>0</v>
      </c>
      <c r="P14" s="2">
        <f t="shared" si="3"/>
        <v>0</v>
      </c>
      <c r="Q14" s="2">
        <f t="shared" si="4"/>
        <v>0</v>
      </c>
      <c r="R14" s="2">
        <f t="shared" si="5"/>
        <v>0</v>
      </c>
      <c r="S14" s="2">
        <f t="shared" si="6"/>
        <v>0</v>
      </c>
      <c r="T14" s="2">
        <f t="shared" si="7"/>
        <v>32</v>
      </c>
      <c r="U14" s="2">
        <f t="shared" si="8"/>
        <v>0</v>
      </c>
      <c r="V14" s="2">
        <f t="shared" si="9"/>
        <v>0</v>
      </c>
      <c r="W14" s="2">
        <f t="shared" si="10"/>
        <v>0</v>
      </c>
      <c r="X14" s="2">
        <f t="shared" si="11"/>
        <v>0</v>
      </c>
    </row>
    <row r="15" spans="1:26" x14ac:dyDescent="0.3">
      <c r="A15" s="3">
        <v>114</v>
      </c>
      <c r="B15" s="3" t="str">
        <f>INDEX('02.CardData'!E:E,MATCH('카드 태그 계산기'!A15,'02.CardData'!A:A,0))</f>
        <v>새총+</v>
      </c>
      <c r="C15" s="3">
        <f t="shared" si="1"/>
        <v>32</v>
      </c>
      <c r="D15" s="3">
        <v>0</v>
      </c>
      <c r="E15" s="3">
        <v>0</v>
      </c>
      <c r="F15" s="3">
        <v>0</v>
      </c>
      <c r="G15" s="3">
        <v>0</v>
      </c>
      <c r="H15" s="3">
        <v>0</v>
      </c>
      <c r="I15" s="3" t="b">
        <v>1</v>
      </c>
      <c r="J15" s="3">
        <v>0</v>
      </c>
      <c r="K15" s="3">
        <v>0</v>
      </c>
      <c r="L15" s="3">
        <v>0</v>
      </c>
      <c r="M15" s="3">
        <v>0</v>
      </c>
      <c r="O15" s="2">
        <f t="shared" ref="O15:O35" si="12">IF(D15&lt;&gt;0,2^(O$1-1),0)</f>
        <v>0</v>
      </c>
      <c r="P15" s="2">
        <f t="shared" ref="P15:P35" si="13">IF(E15&lt;&gt;0,2^(P$1-1),0)</f>
        <v>0</v>
      </c>
      <c r="Q15" s="2">
        <f t="shared" ref="Q15:Q35" si="14">IF(F15&lt;&gt;0,2^(Q$1-1),0)</f>
        <v>0</v>
      </c>
      <c r="R15" s="2">
        <f t="shared" ref="R15:R35" si="15">IF(G15&lt;&gt;0,2^(R$1-1),0)</f>
        <v>0</v>
      </c>
      <c r="S15" s="2">
        <f t="shared" ref="S15:S35" si="16">IF(H15&lt;&gt;0,2^(S$1-1),0)</f>
        <v>0</v>
      </c>
      <c r="T15" s="2">
        <f t="shared" ref="T15:T35" si="17">IF(I15&lt;&gt;0,2^(T$1-1),0)</f>
        <v>32</v>
      </c>
      <c r="U15" s="2">
        <f t="shared" ref="U15:U35" si="18">IF(J15&lt;&gt;0,2^(U$1-1),0)</f>
        <v>0</v>
      </c>
      <c r="V15" s="2">
        <f t="shared" ref="V15:V35" si="19">IF(K15&lt;&gt;0,2^(V$1-1),0)</f>
        <v>0</v>
      </c>
      <c r="W15" s="2">
        <f t="shared" ref="W15:W35" si="20">IF(L15&lt;&gt;0,2^(W$1-1),0)</f>
        <v>0</v>
      </c>
      <c r="X15" s="2">
        <f t="shared" ref="X15:X35" si="21">IF(M15&lt;&gt;0,2^(X$1-1),0)</f>
        <v>0</v>
      </c>
    </row>
    <row r="16" spans="1:26" x14ac:dyDescent="0.3">
      <c r="A16" s="3">
        <v>115</v>
      </c>
      <c r="B16" s="3" t="str">
        <f>INDEX('02.CardData'!E:E,MATCH('카드 태그 계산기'!A16,'02.CardData'!A:A,0))</f>
        <v>모서리 파쇄 해머</v>
      </c>
      <c r="C16" s="3">
        <f t="shared" si="1"/>
        <v>32</v>
      </c>
      <c r="D16" s="3">
        <v>0</v>
      </c>
      <c r="E16" s="3">
        <v>0</v>
      </c>
      <c r="F16" s="3">
        <v>0</v>
      </c>
      <c r="G16" s="3">
        <v>0</v>
      </c>
      <c r="H16" s="3">
        <v>0</v>
      </c>
      <c r="I16" s="3" t="b">
        <v>1</v>
      </c>
      <c r="J16" s="3">
        <v>0</v>
      </c>
      <c r="K16" s="3">
        <v>0</v>
      </c>
      <c r="L16" s="3">
        <v>0</v>
      </c>
      <c r="M16" s="3">
        <v>0</v>
      </c>
      <c r="O16" s="2">
        <f t="shared" si="12"/>
        <v>0</v>
      </c>
      <c r="P16" s="2">
        <f t="shared" si="13"/>
        <v>0</v>
      </c>
      <c r="Q16" s="2">
        <f t="shared" si="14"/>
        <v>0</v>
      </c>
      <c r="R16" s="2">
        <f t="shared" si="15"/>
        <v>0</v>
      </c>
      <c r="S16" s="2">
        <f t="shared" si="16"/>
        <v>0</v>
      </c>
      <c r="T16" s="2">
        <f t="shared" si="17"/>
        <v>32</v>
      </c>
      <c r="U16" s="2">
        <f t="shared" si="18"/>
        <v>0</v>
      </c>
      <c r="V16" s="2">
        <f t="shared" si="19"/>
        <v>0</v>
      </c>
      <c r="W16" s="2">
        <f t="shared" si="20"/>
        <v>0</v>
      </c>
      <c r="X16" s="2">
        <f t="shared" si="21"/>
        <v>0</v>
      </c>
    </row>
    <row r="17" spans="1:24" x14ac:dyDescent="0.3">
      <c r="A17" s="3">
        <v>116</v>
      </c>
      <c r="B17" s="3" t="str">
        <f>INDEX('02.CardData'!E:E,MATCH('카드 태그 계산기'!A17,'02.CardData'!A:A,0))</f>
        <v>모서리 파쇄 해머+</v>
      </c>
      <c r="C17" s="3">
        <f t="shared" si="1"/>
        <v>32</v>
      </c>
      <c r="D17" s="3">
        <v>0</v>
      </c>
      <c r="E17" s="3">
        <v>0</v>
      </c>
      <c r="F17" s="3">
        <v>0</v>
      </c>
      <c r="G17" s="3">
        <v>0</v>
      </c>
      <c r="H17" s="3">
        <v>0</v>
      </c>
      <c r="I17" s="3" t="b">
        <v>1</v>
      </c>
      <c r="J17" s="3">
        <v>0</v>
      </c>
      <c r="K17" s="3">
        <v>0</v>
      </c>
      <c r="L17" s="3">
        <v>0</v>
      </c>
      <c r="M17" s="3">
        <v>0</v>
      </c>
      <c r="O17" s="2">
        <f t="shared" si="12"/>
        <v>0</v>
      </c>
      <c r="P17" s="2">
        <f t="shared" si="13"/>
        <v>0</v>
      </c>
      <c r="Q17" s="2">
        <f t="shared" si="14"/>
        <v>0</v>
      </c>
      <c r="R17" s="2">
        <f t="shared" si="15"/>
        <v>0</v>
      </c>
      <c r="S17" s="2">
        <f t="shared" si="16"/>
        <v>0</v>
      </c>
      <c r="T17" s="2">
        <f t="shared" si="17"/>
        <v>32</v>
      </c>
      <c r="U17" s="2">
        <f t="shared" si="18"/>
        <v>0</v>
      </c>
      <c r="V17" s="2">
        <f t="shared" si="19"/>
        <v>0</v>
      </c>
      <c r="W17" s="2">
        <f t="shared" si="20"/>
        <v>0</v>
      </c>
      <c r="X17" s="2">
        <f t="shared" si="21"/>
        <v>0</v>
      </c>
    </row>
    <row r="18" spans="1:24" x14ac:dyDescent="0.3">
      <c r="A18" s="3">
        <v>117</v>
      </c>
      <c r="B18" s="3" t="str">
        <f>INDEX('02.CardData'!E:E,MATCH('카드 태그 계산기'!A18,'02.CardData'!A:A,0))</f>
        <v>집중형 십자 드릴</v>
      </c>
      <c r="C18" s="3">
        <f t="shared" si="1"/>
        <v>32</v>
      </c>
      <c r="D18" s="3">
        <v>0</v>
      </c>
      <c r="E18" s="3">
        <v>0</v>
      </c>
      <c r="F18" s="3">
        <v>0</v>
      </c>
      <c r="G18" s="3">
        <v>0</v>
      </c>
      <c r="H18" s="3">
        <v>0</v>
      </c>
      <c r="I18" s="3" t="b">
        <v>1</v>
      </c>
      <c r="J18" s="3">
        <v>0</v>
      </c>
      <c r="K18" s="3">
        <v>0</v>
      </c>
      <c r="L18" s="3">
        <v>0</v>
      </c>
      <c r="M18" s="3">
        <v>0</v>
      </c>
      <c r="O18" s="2">
        <f t="shared" si="12"/>
        <v>0</v>
      </c>
      <c r="P18" s="2">
        <f t="shared" si="13"/>
        <v>0</v>
      </c>
      <c r="Q18" s="2">
        <f t="shared" si="14"/>
        <v>0</v>
      </c>
      <c r="R18" s="2">
        <f t="shared" si="15"/>
        <v>0</v>
      </c>
      <c r="S18" s="2">
        <f t="shared" si="16"/>
        <v>0</v>
      </c>
      <c r="T18" s="2">
        <f t="shared" si="17"/>
        <v>32</v>
      </c>
      <c r="U18" s="2">
        <f t="shared" si="18"/>
        <v>0</v>
      </c>
      <c r="V18" s="2">
        <f t="shared" si="19"/>
        <v>0</v>
      </c>
      <c r="W18" s="2">
        <f t="shared" si="20"/>
        <v>0</v>
      </c>
      <c r="X18" s="2">
        <f t="shared" si="21"/>
        <v>0</v>
      </c>
    </row>
    <row r="19" spans="1:24" x14ac:dyDescent="0.3">
      <c r="A19" s="3">
        <v>118</v>
      </c>
      <c r="B19" s="3" t="str">
        <f>INDEX('02.CardData'!E:E,MATCH('카드 태그 계산기'!A19,'02.CardData'!A:A,0))</f>
        <v>집중형 십자 드릴+</v>
      </c>
      <c r="C19" s="3">
        <f t="shared" si="1"/>
        <v>32</v>
      </c>
      <c r="D19" s="3">
        <v>0</v>
      </c>
      <c r="E19" s="3">
        <v>0</v>
      </c>
      <c r="F19" s="3">
        <v>0</v>
      </c>
      <c r="G19" s="3">
        <v>0</v>
      </c>
      <c r="H19" s="3">
        <v>0</v>
      </c>
      <c r="I19" s="3" t="b">
        <v>1</v>
      </c>
      <c r="J19" s="3">
        <v>0</v>
      </c>
      <c r="K19" s="3">
        <v>0</v>
      </c>
      <c r="L19" s="3">
        <v>0</v>
      </c>
      <c r="M19" s="3">
        <v>0</v>
      </c>
      <c r="O19" s="2">
        <f t="shared" si="12"/>
        <v>0</v>
      </c>
      <c r="P19" s="2">
        <f t="shared" si="13"/>
        <v>0</v>
      </c>
      <c r="Q19" s="2">
        <f t="shared" si="14"/>
        <v>0</v>
      </c>
      <c r="R19" s="2">
        <f t="shared" si="15"/>
        <v>0</v>
      </c>
      <c r="S19" s="2">
        <f t="shared" si="16"/>
        <v>0</v>
      </c>
      <c r="T19" s="2">
        <f t="shared" si="17"/>
        <v>32</v>
      </c>
      <c r="U19" s="2">
        <f t="shared" si="18"/>
        <v>0</v>
      </c>
      <c r="V19" s="2">
        <f t="shared" si="19"/>
        <v>0</v>
      </c>
      <c r="W19" s="2">
        <f t="shared" si="20"/>
        <v>0</v>
      </c>
      <c r="X19" s="2">
        <f t="shared" si="21"/>
        <v>0</v>
      </c>
    </row>
    <row r="20" spans="1:24" x14ac:dyDescent="0.3">
      <c r="A20" s="3">
        <v>119</v>
      </c>
      <c r="B20" s="3" t="str">
        <f>INDEX('02.CardData'!E:E,MATCH('카드 태그 계산기'!A20,'02.CardData'!A:A,0))</f>
        <v>황금 도끼</v>
      </c>
      <c r="C20" s="3">
        <f t="shared" si="1"/>
        <v>96</v>
      </c>
      <c r="D20" s="3">
        <v>0</v>
      </c>
      <c r="E20" s="3">
        <v>0</v>
      </c>
      <c r="F20" s="3">
        <v>0</v>
      </c>
      <c r="G20" s="3">
        <v>0</v>
      </c>
      <c r="H20" s="3">
        <v>0</v>
      </c>
      <c r="I20" s="3" t="b">
        <v>1</v>
      </c>
      <c r="J20" s="3" t="b">
        <v>1</v>
      </c>
      <c r="K20" s="3">
        <v>0</v>
      </c>
      <c r="L20" s="3">
        <v>0</v>
      </c>
      <c r="M20" s="3">
        <v>0</v>
      </c>
      <c r="O20" s="2">
        <f t="shared" si="12"/>
        <v>0</v>
      </c>
      <c r="P20" s="2">
        <f t="shared" si="13"/>
        <v>0</v>
      </c>
      <c r="Q20" s="2">
        <f t="shared" si="14"/>
        <v>0</v>
      </c>
      <c r="R20" s="2">
        <f t="shared" si="15"/>
        <v>0</v>
      </c>
      <c r="S20" s="2">
        <f t="shared" si="16"/>
        <v>0</v>
      </c>
      <c r="T20" s="2">
        <f t="shared" si="17"/>
        <v>32</v>
      </c>
      <c r="U20" s="2">
        <f t="shared" si="18"/>
        <v>64</v>
      </c>
      <c r="V20" s="2">
        <f t="shared" si="19"/>
        <v>0</v>
      </c>
      <c r="W20" s="2">
        <f t="shared" si="20"/>
        <v>0</v>
      </c>
      <c r="X20" s="2">
        <f t="shared" si="21"/>
        <v>0</v>
      </c>
    </row>
    <row r="21" spans="1:24" x14ac:dyDescent="0.3">
      <c r="A21" s="3">
        <v>120</v>
      </c>
      <c r="B21" s="3" t="str">
        <f>INDEX('02.CardData'!E:E,MATCH('카드 태그 계산기'!A21,'02.CardData'!A:A,0))</f>
        <v>황금 도끼+</v>
      </c>
      <c r="C21" s="3">
        <f t="shared" si="1"/>
        <v>96</v>
      </c>
      <c r="D21" s="3">
        <v>0</v>
      </c>
      <c r="E21" s="3">
        <v>0</v>
      </c>
      <c r="F21" s="3">
        <v>0</v>
      </c>
      <c r="G21" s="3">
        <v>0</v>
      </c>
      <c r="H21" s="3">
        <v>0</v>
      </c>
      <c r="I21" s="3" t="b">
        <v>1</v>
      </c>
      <c r="J21" s="3" t="b">
        <v>1</v>
      </c>
      <c r="K21" s="3">
        <v>0</v>
      </c>
      <c r="L21" s="3">
        <v>0</v>
      </c>
      <c r="M21" s="3">
        <v>0</v>
      </c>
      <c r="O21" s="2">
        <f t="shared" si="12"/>
        <v>0</v>
      </c>
      <c r="P21" s="2">
        <f t="shared" si="13"/>
        <v>0</v>
      </c>
      <c r="Q21" s="2">
        <f t="shared" si="14"/>
        <v>0</v>
      </c>
      <c r="R21" s="2">
        <f t="shared" si="15"/>
        <v>0</v>
      </c>
      <c r="S21" s="2">
        <f t="shared" si="16"/>
        <v>0</v>
      </c>
      <c r="T21" s="2">
        <f t="shared" si="17"/>
        <v>32</v>
      </c>
      <c r="U21" s="2">
        <f t="shared" si="18"/>
        <v>64</v>
      </c>
      <c r="V21" s="2">
        <f t="shared" si="19"/>
        <v>0</v>
      </c>
      <c r="W21" s="2">
        <f t="shared" si="20"/>
        <v>0</v>
      </c>
      <c r="X21" s="2">
        <f t="shared" si="21"/>
        <v>0</v>
      </c>
    </row>
    <row r="22" spans="1:24" x14ac:dyDescent="0.3">
      <c r="A22" s="3">
        <v>121</v>
      </c>
      <c r="B22" s="3" t="str">
        <f>INDEX('02.CardData'!E:E,MATCH('카드 태그 계산기'!A22,'02.CardData'!A:A,0))</f>
        <v>대형 가위</v>
      </c>
      <c r="C22" s="3">
        <f t="shared" si="1"/>
        <v>32</v>
      </c>
      <c r="D22" s="3">
        <v>0</v>
      </c>
      <c r="E22" s="3">
        <v>0</v>
      </c>
      <c r="F22" s="3">
        <v>0</v>
      </c>
      <c r="G22" s="3">
        <v>0</v>
      </c>
      <c r="H22" s="3">
        <v>0</v>
      </c>
      <c r="I22" s="3" t="b">
        <v>1</v>
      </c>
      <c r="J22" s="3">
        <v>0</v>
      </c>
      <c r="K22" s="3">
        <v>0</v>
      </c>
      <c r="L22" s="3">
        <v>0</v>
      </c>
      <c r="M22" s="3">
        <v>0</v>
      </c>
      <c r="O22" s="2">
        <f t="shared" si="12"/>
        <v>0</v>
      </c>
      <c r="P22" s="2">
        <f t="shared" si="13"/>
        <v>0</v>
      </c>
      <c r="Q22" s="2">
        <f t="shared" si="14"/>
        <v>0</v>
      </c>
      <c r="R22" s="2">
        <f t="shared" si="15"/>
        <v>0</v>
      </c>
      <c r="S22" s="2">
        <f t="shared" si="16"/>
        <v>0</v>
      </c>
      <c r="T22" s="2">
        <f t="shared" si="17"/>
        <v>32</v>
      </c>
      <c r="U22" s="2">
        <f t="shared" si="18"/>
        <v>0</v>
      </c>
      <c r="V22" s="2">
        <f t="shared" si="19"/>
        <v>0</v>
      </c>
      <c r="W22" s="2">
        <f t="shared" si="20"/>
        <v>0</v>
      </c>
      <c r="X22" s="2">
        <f t="shared" si="21"/>
        <v>0</v>
      </c>
    </row>
    <row r="23" spans="1:24" x14ac:dyDescent="0.3">
      <c r="A23" s="3">
        <v>122</v>
      </c>
      <c r="B23" s="3" t="str">
        <f>INDEX('02.CardData'!E:E,MATCH('카드 태그 계산기'!A23,'02.CardData'!A:A,0))</f>
        <v>대형 가위+</v>
      </c>
      <c r="C23" s="3">
        <f t="shared" si="1"/>
        <v>32</v>
      </c>
      <c r="D23" s="3">
        <v>0</v>
      </c>
      <c r="E23" s="3">
        <v>0</v>
      </c>
      <c r="F23" s="3">
        <v>0</v>
      </c>
      <c r="G23" s="3">
        <v>0</v>
      </c>
      <c r="H23" s="3">
        <v>0</v>
      </c>
      <c r="I23" s="3" t="b">
        <v>1</v>
      </c>
      <c r="J23" s="3">
        <v>0</v>
      </c>
      <c r="K23" s="3">
        <v>0</v>
      </c>
      <c r="L23" s="3">
        <v>0</v>
      </c>
      <c r="M23" s="3">
        <v>0</v>
      </c>
      <c r="O23" s="2">
        <f t="shared" si="12"/>
        <v>0</v>
      </c>
      <c r="P23" s="2">
        <f t="shared" si="13"/>
        <v>0</v>
      </c>
      <c r="Q23" s="2">
        <f t="shared" si="14"/>
        <v>0</v>
      </c>
      <c r="R23" s="2">
        <f t="shared" si="15"/>
        <v>0</v>
      </c>
      <c r="S23" s="2">
        <f t="shared" si="16"/>
        <v>0</v>
      </c>
      <c r="T23" s="2">
        <f t="shared" si="17"/>
        <v>32</v>
      </c>
      <c r="U23" s="2">
        <f t="shared" si="18"/>
        <v>0</v>
      </c>
      <c r="V23" s="2">
        <f t="shared" si="19"/>
        <v>0</v>
      </c>
      <c r="W23" s="2">
        <f t="shared" si="20"/>
        <v>0</v>
      </c>
      <c r="X23" s="2">
        <f t="shared" si="21"/>
        <v>0</v>
      </c>
    </row>
    <row r="24" spans="1:24" x14ac:dyDescent="0.3">
      <c r="A24" s="3">
        <v>123</v>
      </c>
      <c r="B24" s="3" t="str">
        <f>INDEX('02.CardData'!E:E,MATCH('카드 태그 계산기'!A24,'02.CardData'!A:A,0))</f>
        <v>약화 카드 - 일반</v>
      </c>
      <c r="C24" s="3">
        <f t="shared" si="1"/>
        <v>128</v>
      </c>
      <c r="D24" s="3">
        <v>0</v>
      </c>
      <c r="E24" s="3">
        <v>0</v>
      </c>
      <c r="F24" s="3">
        <v>0</v>
      </c>
      <c r="G24" s="3">
        <v>0</v>
      </c>
      <c r="H24" s="3">
        <v>0</v>
      </c>
      <c r="I24" s="3">
        <v>0</v>
      </c>
      <c r="J24" s="3">
        <v>0</v>
      </c>
      <c r="K24" s="3" t="b">
        <v>1</v>
      </c>
      <c r="L24" s="3">
        <v>0</v>
      </c>
      <c r="M24" s="3">
        <v>0</v>
      </c>
      <c r="O24" s="2">
        <f t="shared" si="12"/>
        <v>0</v>
      </c>
      <c r="P24" s="2">
        <f t="shared" si="13"/>
        <v>0</v>
      </c>
      <c r="Q24" s="2">
        <f t="shared" si="14"/>
        <v>0</v>
      </c>
      <c r="R24" s="2">
        <f t="shared" si="15"/>
        <v>0</v>
      </c>
      <c r="S24" s="2">
        <f t="shared" si="16"/>
        <v>0</v>
      </c>
      <c r="T24" s="2">
        <f t="shared" si="17"/>
        <v>0</v>
      </c>
      <c r="U24" s="2">
        <f t="shared" si="18"/>
        <v>0</v>
      </c>
      <c r="V24" s="2">
        <f t="shared" si="19"/>
        <v>128</v>
      </c>
      <c r="W24" s="2">
        <f t="shared" si="20"/>
        <v>0</v>
      </c>
      <c r="X24" s="2">
        <f t="shared" si="21"/>
        <v>0</v>
      </c>
    </row>
    <row r="25" spans="1:24" x14ac:dyDescent="0.3">
      <c r="A25" s="3">
        <v>124</v>
      </c>
      <c r="B25" s="3" t="str">
        <f>INDEX('02.CardData'!E:E,MATCH('카드 태그 계산기'!A25,'02.CardData'!A:A,0))</f>
        <v>약화 카드 - 레어</v>
      </c>
      <c r="C25" s="3">
        <f t="shared" si="1"/>
        <v>128</v>
      </c>
      <c r="D25" s="3">
        <v>0</v>
      </c>
      <c r="E25" s="3">
        <v>0</v>
      </c>
      <c r="F25" s="3">
        <v>0</v>
      </c>
      <c r="G25" s="3">
        <v>0</v>
      </c>
      <c r="H25" s="3">
        <v>0</v>
      </c>
      <c r="I25" s="3">
        <v>0</v>
      </c>
      <c r="J25" s="3">
        <v>0</v>
      </c>
      <c r="K25" s="3" t="b">
        <v>1</v>
      </c>
      <c r="L25" s="3">
        <v>0</v>
      </c>
      <c r="M25" s="3">
        <v>0</v>
      </c>
      <c r="O25" s="2">
        <f t="shared" si="12"/>
        <v>0</v>
      </c>
      <c r="P25" s="2">
        <f t="shared" si="13"/>
        <v>0</v>
      </c>
      <c r="Q25" s="2">
        <f t="shared" si="14"/>
        <v>0</v>
      </c>
      <c r="R25" s="2">
        <f t="shared" si="15"/>
        <v>0</v>
      </c>
      <c r="S25" s="2">
        <f t="shared" si="16"/>
        <v>0</v>
      </c>
      <c r="T25" s="2">
        <f t="shared" si="17"/>
        <v>0</v>
      </c>
      <c r="U25" s="2">
        <f t="shared" si="18"/>
        <v>0</v>
      </c>
      <c r="V25" s="2">
        <f t="shared" si="19"/>
        <v>128</v>
      </c>
      <c r="W25" s="2">
        <f t="shared" si="20"/>
        <v>0</v>
      </c>
      <c r="X25" s="2">
        <f t="shared" si="21"/>
        <v>0</v>
      </c>
    </row>
    <row r="26" spans="1:24" x14ac:dyDescent="0.3">
      <c r="A26" s="3">
        <v>125</v>
      </c>
      <c r="B26" s="3" t="str">
        <f>INDEX('02.CardData'!E:E,MATCH('카드 태그 계산기'!A26,'02.CardData'!A:A,0))</f>
        <v>약화 카드 - 유니크</v>
      </c>
      <c r="C26" s="3">
        <f t="shared" si="1"/>
        <v>128</v>
      </c>
      <c r="D26" s="3">
        <v>0</v>
      </c>
      <c r="E26" s="3">
        <v>0</v>
      </c>
      <c r="F26" s="3">
        <v>0</v>
      </c>
      <c r="G26" s="3">
        <v>0</v>
      </c>
      <c r="H26" s="3">
        <v>0</v>
      </c>
      <c r="I26" s="3">
        <v>0</v>
      </c>
      <c r="J26" s="3">
        <v>0</v>
      </c>
      <c r="K26" s="3" t="b">
        <v>1</v>
      </c>
      <c r="L26" s="3">
        <v>0</v>
      </c>
      <c r="M26" s="3">
        <v>0</v>
      </c>
      <c r="O26" s="2">
        <f t="shared" si="12"/>
        <v>0</v>
      </c>
      <c r="P26" s="2">
        <f t="shared" si="13"/>
        <v>0</v>
      </c>
      <c r="Q26" s="2">
        <f t="shared" si="14"/>
        <v>0</v>
      </c>
      <c r="R26" s="2">
        <f t="shared" si="15"/>
        <v>0</v>
      </c>
      <c r="S26" s="2">
        <f t="shared" si="16"/>
        <v>0</v>
      </c>
      <c r="T26" s="2">
        <f t="shared" si="17"/>
        <v>0</v>
      </c>
      <c r="U26" s="2">
        <f t="shared" si="18"/>
        <v>0</v>
      </c>
      <c r="V26" s="2">
        <f t="shared" si="19"/>
        <v>128</v>
      </c>
      <c r="W26" s="2">
        <f t="shared" si="20"/>
        <v>0</v>
      </c>
      <c r="X26" s="2">
        <f t="shared" si="21"/>
        <v>0</v>
      </c>
    </row>
    <row r="27" spans="1:24" x14ac:dyDescent="0.3">
      <c r="A27" s="3">
        <v>126</v>
      </c>
      <c r="B27" s="3" t="str">
        <f>INDEX('02.CardData'!E:E,MATCH('카드 태그 계산기'!A27,'02.CardData'!A:A,0))</f>
        <v>가방</v>
      </c>
      <c r="C27" s="3">
        <f t="shared" si="1"/>
        <v>0</v>
      </c>
      <c r="D27" s="3">
        <v>0</v>
      </c>
      <c r="E27" s="3">
        <v>0</v>
      </c>
      <c r="F27" s="3">
        <v>0</v>
      </c>
      <c r="G27" s="3">
        <v>0</v>
      </c>
      <c r="H27" s="3">
        <v>0</v>
      </c>
      <c r="I27" s="3">
        <v>0</v>
      </c>
      <c r="J27" s="3">
        <v>0</v>
      </c>
      <c r="K27" s="3">
        <v>0</v>
      </c>
      <c r="L27" s="3">
        <v>0</v>
      </c>
      <c r="M27" s="3">
        <v>0</v>
      </c>
      <c r="O27" s="2">
        <f t="shared" si="12"/>
        <v>0</v>
      </c>
      <c r="P27" s="2">
        <f t="shared" si="13"/>
        <v>0</v>
      </c>
      <c r="Q27" s="2">
        <f t="shared" si="14"/>
        <v>0</v>
      </c>
      <c r="R27" s="2">
        <f t="shared" si="15"/>
        <v>0</v>
      </c>
      <c r="S27" s="2">
        <f t="shared" si="16"/>
        <v>0</v>
      </c>
      <c r="T27" s="2">
        <f t="shared" si="17"/>
        <v>0</v>
      </c>
      <c r="U27" s="2">
        <f t="shared" si="18"/>
        <v>0</v>
      </c>
      <c r="V27" s="2">
        <f t="shared" si="19"/>
        <v>0</v>
      </c>
      <c r="W27" s="2">
        <f t="shared" si="20"/>
        <v>0</v>
      </c>
      <c r="X27" s="2">
        <f t="shared" si="21"/>
        <v>0</v>
      </c>
    </row>
    <row r="28" spans="1:24" x14ac:dyDescent="0.3">
      <c r="A28" s="3">
        <v>127</v>
      </c>
      <c r="B28" s="3" t="str">
        <f>INDEX('02.CardData'!E:E,MATCH('카드 태그 계산기'!A28,'02.CardData'!A:A,0))</f>
        <v>도구 변형</v>
      </c>
      <c r="C28" s="3">
        <f t="shared" si="1"/>
        <v>0</v>
      </c>
      <c r="D28" s="3">
        <v>0</v>
      </c>
      <c r="E28" s="3">
        <v>0</v>
      </c>
      <c r="F28" s="3">
        <v>0</v>
      </c>
      <c r="G28" s="3">
        <v>0</v>
      </c>
      <c r="H28" s="3">
        <v>0</v>
      </c>
      <c r="I28" s="3">
        <v>0</v>
      </c>
      <c r="J28" s="3">
        <v>0</v>
      </c>
      <c r="K28" s="3">
        <v>0</v>
      </c>
      <c r="L28" s="3">
        <v>0</v>
      </c>
      <c r="M28" s="3">
        <v>0</v>
      </c>
      <c r="O28" s="2">
        <f t="shared" si="12"/>
        <v>0</v>
      </c>
      <c r="P28" s="2">
        <f t="shared" si="13"/>
        <v>0</v>
      </c>
      <c r="Q28" s="2">
        <f t="shared" si="14"/>
        <v>0</v>
      </c>
      <c r="R28" s="2">
        <f t="shared" si="15"/>
        <v>0</v>
      </c>
      <c r="S28" s="2">
        <f t="shared" si="16"/>
        <v>0</v>
      </c>
      <c r="T28" s="2">
        <f t="shared" si="17"/>
        <v>0</v>
      </c>
      <c r="U28" s="2">
        <f t="shared" si="18"/>
        <v>0</v>
      </c>
      <c r="V28" s="2">
        <f t="shared" si="19"/>
        <v>0</v>
      </c>
      <c r="W28" s="2">
        <f t="shared" si="20"/>
        <v>0</v>
      </c>
      <c r="X28" s="2">
        <f t="shared" si="21"/>
        <v>0</v>
      </c>
    </row>
    <row r="29" spans="1:24" x14ac:dyDescent="0.3">
      <c r="A29" s="3">
        <v>128</v>
      </c>
      <c r="B29" s="3" t="str">
        <f>INDEX('02.CardData'!E:E,MATCH('카드 태그 계산기'!A29,'02.CardData'!A:A,0))</f>
        <v>도구 강화</v>
      </c>
      <c r="C29" s="3">
        <f t="shared" si="1"/>
        <v>0</v>
      </c>
      <c r="D29" s="3">
        <v>0</v>
      </c>
      <c r="E29" s="3">
        <v>0</v>
      </c>
      <c r="F29" s="3">
        <v>0</v>
      </c>
      <c r="G29" s="3">
        <v>0</v>
      </c>
      <c r="H29" s="3">
        <v>0</v>
      </c>
      <c r="I29" s="3">
        <v>0</v>
      </c>
      <c r="J29" s="3">
        <v>0</v>
      </c>
      <c r="K29" s="3">
        <v>0</v>
      </c>
      <c r="L29" s="3">
        <v>0</v>
      </c>
      <c r="M29" s="3">
        <v>0</v>
      </c>
      <c r="O29" s="2">
        <f t="shared" si="12"/>
        <v>0</v>
      </c>
      <c r="P29" s="2">
        <f t="shared" si="13"/>
        <v>0</v>
      </c>
      <c r="Q29" s="2">
        <f t="shared" si="14"/>
        <v>0</v>
      </c>
      <c r="R29" s="2">
        <f t="shared" si="15"/>
        <v>0</v>
      </c>
      <c r="S29" s="2">
        <f t="shared" si="16"/>
        <v>0</v>
      </c>
      <c r="T29" s="2">
        <f t="shared" si="17"/>
        <v>0</v>
      </c>
      <c r="U29" s="2">
        <f t="shared" si="18"/>
        <v>0</v>
      </c>
      <c r="V29" s="2">
        <f t="shared" si="19"/>
        <v>0</v>
      </c>
      <c r="W29" s="2">
        <f t="shared" si="20"/>
        <v>0</v>
      </c>
      <c r="X29" s="2">
        <f t="shared" si="21"/>
        <v>0</v>
      </c>
    </row>
    <row r="30" spans="1:24" x14ac:dyDescent="0.3">
      <c r="A30" s="3">
        <v>129</v>
      </c>
      <c r="B30" s="3" t="str">
        <f>INDEX('02.CardData'!E:E,MATCH('카드 태그 계산기'!A30,'02.CardData'!A:A,0))</f>
        <v>모험가의 횃불</v>
      </c>
      <c r="C30" s="3">
        <f t="shared" si="1"/>
        <v>32</v>
      </c>
      <c r="D30" s="3">
        <v>0</v>
      </c>
      <c r="E30" s="3">
        <v>0</v>
      </c>
      <c r="F30" s="3">
        <v>0</v>
      </c>
      <c r="G30" s="3">
        <v>0</v>
      </c>
      <c r="H30" s="3">
        <v>0</v>
      </c>
      <c r="I30" s="3" t="b">
        <v>1</v>
      </c>
      <c r="J30" s="3">
        <v>0</v>
      </c>
      <c r="K30" s="3">
        <v>0</v>
      </c>
      <c r="L30" s="3">
        <v>0</v>
      </c>
      <c r="M30" s="3">
        <v>0</v>
      </c>
      <c r="O30" s="2">
        <f t="shared" si="12"/>
        <v>0</v>
      </c>
      <c r="P30" s="2">
        <f t="shared" si="13"/>
        <v>0</v>
      </c>
      <c r="Q30" s="2">
        <f t="shared" si="14"/>
        <v>0</v>
      </c>
      <c r="R30" s="2">
        <f t="shared" si="15"/>
        <v>0</v>
      </c>
      <c r="S30" s="2">
        <f t="shared" si="16"/>
        <v>0</v>
      </c>
      <c r="T30" s="2">
        <f t="shared" si="17"/>
        <v>32</v>
      </c>
      <c r="U30" s="2">
        <f t="shared" si="18"/>
        <v>0</v>
      </c>
      <c r="V30" s="2">
        <f t="shared" si="19"/>
        <v>0</v>
      </c>
      <c r="W30" s="2">
        <f t="shared" si="20"/>
        <v>0</v>
      </c>
      <c r="X30" s="2">
        <f t="shared" si="21"/>
        <v>0</v>
      </c>
    </row>
    <row r="31" spans="1:24" x14ac:dyDescent="0.3">
      <c r="A31" s="3">
        <v>130</v>
      </c>
      <c r="B31" s="3" t="str">
        <f>INDEX('02.CardData'!E:E,MATCH('카드 태그 계산기'!A31,'02.CardData'!A:A,0))</f>
        <v>모험가의 횃불+</v>
      </c>
      <c r="C31" s="3">
        <f t="shared" si="1"/>
        <v>32</v>
      </c>
      <c r="D31" s="3">
        <v>0</v>
      </c>
      <c r="E31" s="3">
        <v>0</v>
      </c>
      <c r="F31" s="3">
        <v>0</v>
      </c>
      <c r="G31" s="3">
        <v>0</v>
      </c>
      <c r="H31" s="3">
        <v>0</v>
      </c>
      <c r="I31" s="3" t="b">
        <v>1</v>
      </c>
      <c r="J31" s="3">
        <v>0</v>
      </c>
      <c r="K31" s="3">
        <v>0</v>
      </c>
      <c r="L31" s="3">
        <v>0</v>
      </c>
      <c r="M31" s="3">
        <v>0</v>
      </c>
      <c r="O31" s="2">
        <f t="shared" si="12"/>
        <v>0</v>
      </c>
      <c r="P31" s="2">
        <f t="shared" si="13"/>
        <v>0</v>
      </c>
      <c r="Q31" s="2">
        <f t="shared" si="14"/>
        <v>0</v>
      </c>
      <c r="R31" s="2">
        <f t="shared" si="15"/>
        <v>0</v>
      </c>
      <c r="S31" s="2">
        <f t="shared" si="16"/>
        <v>0</v>
      </c>
      <c r="T31" s="2">
        <f t="shared" si="17"/>
        <v>32</v>
      </c>
      <c r="U31" s="2">
        <f t="shared" si="18"/>
        <v>0</v>
      </c>
      <c r="V31" s="2">
        <f t="shared" si="19"/>
        <v>0</v>
      </c>
      <c r="W31" s="2">
        <f t="shared" si="20"/>
        <v>0</v>
      </c>
      <c r="X31" s="2">
        <f t="shared" si="21"/>
        <v>0</v>
      </c>
    </row>
    <row r="32" spans="1:24" x14ac:dyDescent="0.3">
      <c r="A32" s="3">
        <v>131</v>
      </c>
      <c r="B32" s="3" t="str">
        <f>INDEX('02.CardData'!E:E,MATCH('카드 태그 계산기'!A32,'02.CardData'!A:A,0))</f>
        <v>기억의 망치</v>
      </c>
      <c r="C32" s="3">
        <f t="shared" si="1"/>
        <v>32</v>
      </c>
      <c r="D32" s="3">
        <v>0</v>
      </c>
      <c r="E32" s="3">
        <v>0</v>
      </c>
      <c r="F32" s="3">
        <v>0</v>
      </c>
      <c r="G32" s="3">
        <v>0</v>
      </c>
      <c r="H32" s="3">
        <v>0</v>
      </c>
      <c r="I32" s="3" t="b">
        <v>1</v>
      </c>
      <c r="J32" s="3">
        <v>0</v>
      </c>
      <c r="K32" s="3">
        <v>0</v>
      </c>
      <c r="L32" s="3">
        <v>0</v>
      </c>
      <c r="M32" s="3">
        <v>0</v>
      </c>
      <c r="O32" s="2">
        <f t="shared" si="12"/>
        <v>0</v>
      </c>
      <c r="P32" s="2">
        <f t="shared" si="13"/>
        <v>0</v>
      </c>
      <c r="Q32" s="2">
        <f t="shared" si="14"/>
        <v>0</v>
      </c>
      <c r="R32" s="2">
        <f t="shared" si="15"/>
        <v>0</v>
      </c>
      <c r="S32" s="2">
        <f t="shared" si="16"/>
        <v>0</v>
      </c>
      <c r="T32" s="2">
        <f t="shared" si="17"/>
        <v>32</v>
      </c>
      <c r="U32" s="2">
        <f t="shared" si="18"/>
        <v>0</v>
      </c>
      <c r="V32" s="2">
        <f t="shared" si="19"/>
        <v>0</v>
      </c>
      <c r="W32" s="2">
        <f t="shared" si="20"/>
        <v>0</v>
      </c>
      <c r="X32" s="2">
        <f t="shared" si="21"/>
        <v>0</v>
      </c>
    </row>
    <row r="33" spans="1:24" x14ac:dyDescent="0.3">
      <c r="A33" s="3">
        <v>132</v>
      </c>
      <c r="B33" s="3" t="str">
        <f>INDEX('02.CardData'!E:E,MATCH('카드 태그 계산기'!A33,'02.CardData'!A:A,0))</f>
        <v>기억의 망치+</v>
      </c>
      <c r="C33" s="3">
        <f t="shared" si="1"/>
        <v>32</v>
      </c>
      <c r="D33" s="3">
        <v>0</v>
      </c>
      <c r="E33" s="3">
        <v>0</v>
      </c>
      <c r="F33" s="3">
        <v>0</v>
      </c>
      <c r="G33" s="3">
        <v>0</v>
      </c>
      <c r="H33" s="3">
        <v>0</v>
      </c>
      <c r="I33" s="3" t="b">
        <v>1</v>
      </c>
      <c r="J33" s="3">
        <v>0</v>
      </c>
      <c r="K33" s="3">
        <v>0</v>
      </c>
      <c r="L33" s="3">
        <v>0</v>
      </c>
      <c r="M33" s="3">
        <v>0</v>
      </c>
      <c r="O33" s="2">
        <f t="shared" si="12"/>
        <v>0</v>
      </c>
      <c r="P33" s="2">
        <f t="shared" si="13"/>
        <v>0</v>
      </c>
      <c r="Q33" s="2">
        <f t="shared" si="14"/>
        <v>0</v>
      </c>
      <c r="R33" s="2">
        <f t="shared" si="15"/>
        <v>0</v>
      </c>
      <c r="S33" s="2">
        <f t="shared" si="16"/>
        <v>0</v>
      </c>
      <c r="T33" s="2">
        <f t="shared" si="17"/>
        <v>32</v>
      </c>
      <c r="U33" s="2">
        <f t="shared" si="18"/>
        <v>0</v>
      </c>
      <c r="V33" s="2">
        <f t="shared" si="19"/>
        <v>0</v>
      </c>
      <c r="W33" s="2">
        <f t="shared" si="20"/>
        <v>0</v>
      </c>
      <c r="X33" s="2">
        <f t="shared" si="21"/>
        <v>0</v>
      </c>
    </row>
    <row r="34" spans="1:24" x14ac:dyDescent="0.3">
      <c r="A34" s="3">
        <v>133</v>
      </c>
      <c r="B34" s="3" t="str">
        <f>INDEX('02.CardData'!E:E,MATCH('카드 태그 계산기'!A34,'02.CardData'!A:A,0))</f>
        <v>균열 지층 분석</v>
      </c>
      <c r="C34" s="3">
        <f t="shared" si="1"/>
        <v>32</v>
      </c>
      <c r="D34" s="3">
        <v>0</v>
      </c>
      <c r="E34" s="3">
        <v>0</v>
      </c>
      <c r="F34" s="3">
        <v>0</v>
      </c>
      <c r="G34" s="3">
        <v>0</v>
      </c>
      <c r="H34" s="3">
        <v>0</v>
      </c>
      <c r="I34" s="3" t="b">
        <v>1</v>
      </c>
      <c r="J34" s="3">
        <v>0</v>
      </c>
      <c r="K34" s="3">
        <v>0</v>
      </c>
      <c r="L34" s="3">
        <v>0</v>
      </c>
      <c r="M34" s="3">
        <v>0</v>
      </c>
      <c r="O34" s="2">
        <f t="shared" si="12"/>
        <v>0</v>
      </c>
      <c r="P34" s="2">
        <f t="shared" si="13"/>
        <v>0</v>
      </c>
      <c r="Q34" s="2">
        <f t="shared" si="14"/>
        <v>0</v>
      </c>
      <c r="R34" s="2">
        <f t="shared" si="15"/>
        <v>0</v>
      </c>
      <c r="S34" s="2">
        <f t="shared" si="16"/>
        <v>0</v>
      </c>
      <c r="T34" s="2">
        <f t="shared" si="17"/>
        <v>32</v>
      </c>
      <c r="U34" s="2">
        <f t="shared" si="18"/>
        <v>0</v>
      </c>
      <c r="V34" s="2">
        <f t="shared" si="19"/>
        <v>0</v>
      </c>
      <c r="W34" s="2">
        <f t="shared" si="20"/>
        <v>0</v>
      </c>
      <c r="X34" s="2">
        <f t="shared" si="21"/>
        <v>0</v>
      </c>
    </row>
    <row r="35" spans="1:24" x14ac:dyDescent="0.3">
      <c r="A35" s="3">
        <v>134</v>
      </c>
      <c r="B35" s="3" t="str">
        <f>INDEX('02.CardData'!E:E,MATCH('카드 태그 계산기'!A35,'02.CardData'!A:A,0))</f>
        <v>균열 지층 분석+</v>
      </c>
      <c r="C35" s="3">
        <f t="shared" si="1"/>
        <v>32</v>
      </c>
      <c r="D35" s="3">
        <v>0</v>
      </c>
      <c r="E35" s="3">
        <v>0</v>
      </c>
      <c r="F35" s="3">
        <v>0</v>
      </c>
      <c r="G35" s="3">
        <v>0</v>
      </c>
      <c r="H35" s="3">
        <v>0</v>
      </c>
      <c r="I35" s="3" t="b">
        <v>1</v>
      </c>
      <c r="J35" s="3">
        <v>0</v>
      </c>
      <c r="K35" s="3">
        <v>0</v>
      </c>
      <c r="L35" s="3">
        <v>0</v>
      </c>
      <c r="M35" s="3">
        <v>0</v>
      </c>
      <c r="O35" s="2">
        <f t="shared" si="12"/>
        <v>0</v>
      </c>
      <c r="P35" s="2">
        <f t="shared" si="13"/>
        <v>0</v>
      </c>
      <c r="Q35" s="2">
        <f t="shared" si="14"/>
        <v>0</v>
      </c>
      <c r="R35" s="2">
        <f t="shared" si="15"/>
        <v>0</v>
      </c>
      <c r="S35" s="2">
        <f t="shared" si="16"/>
        <v>0</v>
      </c>
      <c r="T35" s="2">
        <f t="shared" si="17"/>
        <v>32</v>
      </c>
      <c r="U35" s="2">
        <f t="shared" si="18"/>
        <v>0</v>
      </c>
      <c r="V35" s="2">
        <f t="shared" si="19"/>
        <v>0</v>
      </c>
      <c r="W35" s="2">
        <f t="shared" si="20"/>
        <v>0</v>
      </c>
      <c r="X35" s="2">
        <f t="shared" si="21"/>
        <v>0</v>
      </c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500643-3E82-45CA-8781-0E6EB340BBC3}">
  <sheetPr codeName="Sheet4"/>
  <dimension ref="A1:AE79"/>
  <sheetViews>
    <sheetView topLeftCell="A49" workbookViewId="0">
      <selection activeCell="E84" sqref="E84"/>
    </sheetView>
  </sheetViews>
  <sheetFormatPr defaultRowHeight="12" x14ac:dyDescent="0.3"/>
  <cols>
    <col min="1" max="1" width="9" style="6"/>
    <col min="2" max="2" width="11.625" style="6" bestFit="1" customWidth="1"/>
    <col min="3" max="3" width="10" style="6" bestFit="1" customWidth="1"/>
    <col min="4" max="4" width="18.375" style="7" customWidth="1"/>
    <col min="5" max="5" width="95" style="7" bestFit="1" customWidth="1"/>
    <col min="6" max="6" width="9.75" style="6" bestFit="1" customWidth="1"/>
    <col min="7" max="16" width="9" style="6"/>
    <col min="17" max="17" width="3" style="5" customWidth="1"/>
    <col min="18" max="26" width="13.125" style="10" bestFit="1" customWidth="1"/>
    <col min="27" max="27" width="14.125" style="10" bestFit="1" customWidth="1"/>
    <col min="28" max="28" width="9" style="4"/>
    <col min="29" max="29" width="18" style="4" bestFit="1" customWidth="1"/>
    <col min="30" max="30" width="34.5" style="4" bestFit="1" customWidth="1"/>
    <col min="31" max="16384" width="9" style="4"/>
  </cols>
  <sheetData>
    <row r="1" spans="1:31" x14ac:dyDescent="0.3">
      <c r="A1" s="2" t="s">
        <v>9</v>
      </c>
      <c r="B1" s="2" t="s">
        <v>8</v>
      </c>
      <c r="C1" s="2" t="s">
        <v>295</v>
      </c>
      <c r="D1" s="8" t="s">
        <v>10</v>
      </c>
      <c r="E1" s="8" t="s">
        <v>21</v>
      </c>
      <c r="F1" s="2" t="s">
        <v>626</v>
      </c>
      <c r="G1" s="2" t="s">
        <v>11</v>
      </c>
      <c r="H1" s="2" t="s">
        <v>12</v>
      </c>
      <c r="I1" s="2" t="s">
        <v>13</v>
      </c>
      <c r="J1" s="2" t="s">
        <v>14</v>
      </c>
      <c r="K1" s="2" t="s">
        <v>15</v>
      </c>
      <c r="L1" s="2" t="s">
        <v>16</v>
      </c>
      <c r="M1" s="2" t="s">
        <v>17</v>
      </c>
      <c r="N1" s="2" t="s">
        <v>18</v>
      </c>
      <c r="O1" s="2" t="s">
        <v>19</v>
      </c>
      <c r="P1" s="2" t="s">
        <v>20</v>
      </c>
      <c r="R1" s="9" t="s">
        <v>11</v>
      </c>
      <c r="S1" s="9" t="s">
        <v>12</v>
      </c>
      <c r="T1" s="9" t="s">
        <v>13</v>
      </c>
      <c r="U1" s="9" t="s">
        <v>14</v>
      </c>
      <c r="V1" s="9" t="s">
        <v>15</v>
      </c>
      <c r="W1" s="9" t="s">
        <v>16</v>
      </c>
      <c r="X1" s="9" t="s">
        <v>17</v>
      </c>
      <c r="Y1" s="9" t="s">
        <v>18</v>
      </c>
      <c r="Z1" s="9" t="s">
        <v>19</v>
      </c>
      <c r="AA1" s="9" t="s">
        <v>20</v>
      </c>
    </row>
    <row r="2" spans="1:31" x14ac:dyDescent="0.3">
      <c r="A2" s="6" t="s">
        <v>646</v>
      </c>
      <c r="B2" s="6" t="s">
        <v>748</v>
      </c>
      <c r="C2" s="6" t="s">
        <v>749</v>
      </c>
      <c r="D2" s="7" t="s">
        <v>22</v>
      </c>
      <c r="E2" s="7" t="s">
        <v>23</v>
      </c>
      <c r="F2" s="10">
        <v>1</v>
      </c>
      <c r="G2" s="10">
        <v>3</v>
      </c>
      <c r="H2" s="10">
        <v>0</v>
      </c>
      <c r="I2" s="10">
        <v>0</v>
      </c>
      <c r="J2" s="10">
        <v>0</v>
      </c>
      <c r="K2" s="10">
        <v>0</v>
      </c>
      <c r="L2" s="10">
        <v>0</v>
      </c>
      <c r="M2" s="10">
        <v>0</v>
      </c>
      <c r="N2" s="10">
        <v>0</v>
      </c>
      <c r="O2" s="10">
        <v>0</v>
      </c>
      <c r="P2" s="10">
        <v>0</v>
      </c>
      <c r="R2" s="10" t="s">
        <v>66</v>
      </c>
      <c r="S2" s="10">
        <v>0</v>
      </c>
      <c r="T2" s="10">
        <v>0</v>
      </c>
      <c r="U2" s="10">
        <v>0</v>
      </c>
      <c r="V2" s="10">
        <v>0</v>
      </c>
      <c r="W2" s="10">
        <v>0</v>
      </c>
      <c r="X2" s="10">
        <v>0</v>
      </c>
      <c r="Y2" s="10">
        <v>0</v>
      </c>
      <c r="Z2" s="10">
        <v>0</v>
      </c>
      <c r="AA2" s="10">
        <v>0</v>
      </c>
      <c r="AC2" s="30" t="s">
        <v>632</v>
      </c>
      <c r="AD2" s="31"/>
      <c r="AE2" s="32"/>
    </row>
    <row r="3" spans="1:31" x14ac:dyDescent="0.3">
      <c r="A3" s="6" t="s">
        <v>647</v>
      </c>
      <c r="B3" s="6" t="s">
        <v>750</v>
      </c>
      <c r="C3" s="6" t="s">
        <v>751</v>
      </c>
      <c r="D3" s="7" t="s">
        <v>24</v>
      </c>
      <c r="E3" s="7" t="s">
        <v>25</v>
      </c>
      <c r="F3" s="10">
        <v>1</v>
      </c>
      <c r="G3" s="10">
        <v>1.25</v>
      </c>
      <c r="H3" s="10">
        <v>0</v>
      </c>
      <c r="I3" s="10">
        <v>0</v>
      </c>
      <c r="J3" s="10">
        <v>0</v>
      </c>
      <c r="K3" s="10">
        <v>0</v>
      </c>
      <c r="L3" s="10">
        <v>0</v>
      </c>
      <c r="M3" s="10">
        <v>0</v>
      </c>
      <c r="N3" s="10">
        <v>0</v>
      </c>
      <c r="O3" s="10">
        <v>0</v>
      </c>
      <c r="P3" s="10">
        <v>0</v>
      </c>
      <c r="R3" s="10" t="s">
        <v>67</v>
      </c>
      <c r="S3" s="10">
        <v>0</v>
      </c>
      <c r="T3" s="10">
        <v>0</v>
      </c>
      <c r="U3" s="10">
        <v>0</v>
      </c>
      <c r="V3" s="10">
        <v>0</v>
      </c>
      <c r="W3" s="10">
        <v>0</v>
      </c>
      <c r="X3" s="10">
        <v>0</v>
      </c>
      <c r="Y3" s="10">
        <v>0</v>
      </c>
      <c r="Z3" s="10">
        <v>0</v>
      </c>
      <c r="AA3" s="10">
        <v>0</v>
      </c>
      <c r="AC3" s="2" t="s">
        <v>101</v>
      </c>
      <c r="AD3" s="2" t="s">
        <v>102</v>
      </c>
      <c r="AE3" s="2" t="s">
        <v>103</v>
      </c>
    </row>
    <row r="4" spans="1:31" x14ac:dyDescent="0.3">
      <c r="A4" s="6" t="s">
        <v>648</v>
      </c>
      <c r="B4" s="6" t="s">
        <v>752</v>
      </c>
      <c r="C4" s="6" t="s">
        <v>753</v>
      </c>
      <c r="D4" s="7" t="s">
        <v>26</v>
      </c>
      <c r="E4" s="7" t="s">
        <v>27</v>
      </c>
      <c r="F4" s="10">
        <v>1</v>
      </c>
      <c r="G4" s="10">
        <v>3000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R4" s="10" t="s">
        <v>68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C4" s="2" t="s">
        <v>627</v>
      </c>
      <c r="AD4" s="6" t="s">
        <v>633</v>
      </c>
      <c r="AE4" s="6" t="s">
        <v>104</v>
      </c>
    </row>
    <row r="5" spans="1:31" x14ac:dyDescent="0.3">
      <c r="A5" s="6" t="s">
        <v>649</v>
      </c>
      <c r="B5" s="6" t="s">
        <v>754</v>
      </c>
      <c r="C5" s="6" t="s">
        <v>755</v>
      </c>
      <c r="D5" s="7" t="s">
        <v>28</v>
      </c>
      <c r="E5" s="7" t="s">
        <v>29</v>
      </c>
      <c r="F5" s="10">
        <v>1</v>
      </c>
      <c r="G5" s="10">
        <v>1</v>
      </c>
      <c r="H5" s="10">
        <v>0</v>
      </c>
      <c r="I5" s="10">
        <v>0</v>
      </c>
      <c r="J5" s="10">
        <v>0</v>
      </c>
      <c r="K5" s="10">
        <v>0</v>
      </c>
      <c r="L5" s="10">
        <v>0</v>
      </c>
      <c r="M5" s="10">
        <v>0</v>
      </c>
      <c r="N5" s="10">
        <v>0</v>
      </c>
      <c r="O5" s="10">
        <v>0</v>
      </c>
      <c r="P5" s="10">
        <v>0</v>
      </c>
      <c r="R5" s="10" t="s">
        <v>69</v>
      </c>
      <c r="S5" s="10">
        <v>0</v>
      </c>
      <c r="T5" s="10">
        <v>0</v>
      </c>
      <c r="U5" s="10">
        <v>0</v>
      </c>
      <c r="V5" s="10">
        <v>0</v>
      </c>
      <c r="W5" s="10">
        <v>0</v>
      </c>
      <c r="X5" s="10">
        <v>0</v>
      </c>
      <c r="Y5" s="10">
        <v>0</v>
      </c>
      <c r="Z5" s="10">
        <v>0</v>
      </c>
      <c r="AA5" s="10">
        <v>0</v>
      </c>
      <c r="AC5" s="2" t="s">
        <v>628</v>
      </c>
      <c r="AD5" s="6" t="s">
        <v>634</v>
      </c>
      <c r="AE5" s="6" t="s">
        <v>104</v>
      </c>
    </row>
    <row r="6" spans="1:31" x14ac:dyDescent="0.3">
      <c r="A6" s="6" t="s">
        <v>650</v>
      </c>
      <c r="B6" s="6" t="s">
        <v>756</v>
      </c>
      <c r="C6" s="6" t="s">
        <v>757</v>
      </c>
      <c r="D6" s="7" t="s">
        <v>30</v>
      </c>
      <c r="E6" s="7" t="s">
        <v>31</v>
      </c>
      <c r="F6" s="10">
        <v>1</v>
      </c>
      <c r="G6" s="10">
        <v>0</v>
      </c>
      <c r="H6" s="10">
        <v>0</v>
      </c>
      <c r="I6" s="10">
        <v>0</v>
      </c>
      <c r="J6" s="10">
        <v>0</v>
      </c>
      <c r="K6" s="10">
        <v>0</v>
      </c>
      <c r="L6" s="10">
        <v>0</v>
      </c>
      <c r="M6" s="10">
        <v>0</v>
      </c>
      <c r="N6" s="10">
        <v>0</v>
      </c>
      <c r="O6" s="10">
        <v>0</v>
      </c>
      <c r="P6" s="10">
        <v>0</v>
      </c>
      <c r="R6" s="10">
        <v>0</v>
      </c>
      <c r="S6" s="10">
        <v>0</v>
      </c>
      <c r="T6" s="10">
        <v>0</v>
      </c>
      <c r="U6" s="10">
        <v>0</v>
      </c>
      <c r="V6" s="10">
        <v>0</v>
      </c>
      <c r="W6" s="10">
        <v>0</v>
      </c>
      <c r="X6" s="10">
        <v>0</v>
      </c>
      <c r="Y6" s="10">
        <v>0</v>
      </c>
      <c r="Z6" s="10">
        <v>0</v>
      </c>
      <c r="AA6" s="10">
        <v>0</v>
      </c>
      <c r="AC6" s="2" t="s">
        <v>629</v>
      </c>
      <c r="AD6" s="6" t="s">
        <v>635</v>
      </c>
      <c r="AE6" s="6" t="s">
        <v>104</v>
      </c>
    </row>
    <row r="7" spans="1:31" x14ac:dyDescent="0.3">
      <c r="A7" s="6" t="s">
        <v>651</v>
      </c>
      <c r="B7" s="6" t="s">
        <v>758</v>
      </c>
      <c r="C7" s="6" t="s">
        <v>759</v>
      </c>
      <c r="D7" s="7" t="s">
        <v>32</v>
      </c>
      <c r="E7" s="7" t="s">
        <v>33</v>
      </c>
      <c r="F7" s="10">
        <v>1</v>
      </c>
      <c r="G7" s="10">
        <v>10</v>
      </c>
      <c r="H7" s="10">
        <v>5</v>
      </c>
      <c r="I7" s="10">
        <v>50</v>
      </c>
      <c r="J7" s="10">
        <v>0</v>
      </c>
      <c r="K7" s="10">
        <v>0</v>
      </c>
      <c r="L7" s="10">
        <v>0</v>
      </c>
      <c r="M7" s="10">
        <v>0</v>
      </c>
      <c r="N7" s="10">
        <v>0</v>
      </c>
      <c r="O7" s="10">
        <v>0</v>
      </c>
      <c r="P7" s="10">
        <v>0</v>
      </c>
      <c r="R7" s="10" t="s">
        <v>69</v>
      </c>
      <c r="S7" s="10" t="s">
        <v>70</v>
      </c>
      <c r="T7" s="10" t="s">
        <v>83</v>
      </c>
      <c r="U7" s="10">
        <v>0</v>
      </c>
      <c r="V7" s="10">
        <v>0</v>
      </c>
      <c r="W7" s="10">
        <v>0</v>
      </c>
      <c r="X7" s="10">
        <v>0</v>
      </c>
      <c r="Y7" s="10">
        <v>0</v>
      </c>
      <c r="Z7" s="10">
        <v>0</v>
      </c>
      <c r="AA7" s="10">
        <v>0</v>
      </c>
      <c r="AC7" s="2" t="s">
        <v>630</v>
      </c>
      <c r="AD7" s="6" t="s">
        <v>636</v>
      </c>
      <c r="AE7" s="6" t="s">
        <v>112</v>
      </c>
    </row>
    <row r="8" spans="1:31" x14ac:dyDescent="0.3">
      <c r="A8" s="6" t="s">
        <v>652</v>
      </c>
      <c r="B8" s="6" t="s">
        <v>760</v>
      </c>
      <c r="C8" s="6" t="s">
        <v>761</v>
      </c>
      <c r="D8" s="7" t="s">
        <v>34</v>
      </c>
      <c r="E8" s="7" t="s">
        <v>35</v>
      </c>
      <c r="F8" s="10">
        <v>1</v>
      </c>
      <c r="G8" s="10">
        <v>1</v>
      </c>
      <c r="H8" s="10">
        <v>0</v>
      </c>
      <c r="I8" s="10">
        <v>0</v>
      </c>
      <c r="J8" s="10">
        <v>0</v>
      </c>
      <c r="K8" s="10">
        <v>0</v>
      </c>
      <c r="L8" s="10">
        <v>0</v>
      </c>
      <c r="M8" s="10">
        <v>0</v>
      </c>
      <c r="N8" s="10">
        <v>0</v>
      </c>
      <c r="O8" s="10">
        <v>0</v>
      </c>
      <c r="P8" s="10">
        <v>0</v>
      </c>
      <c r="R8" s="10" t="s">
        <v>84</v>
      </c>
      <c r="S8" s="10">
        <v>0</v>
      </c>
      <c r="T8" s="10">
        <v>0</v>
      </c>
      <c r="U8" s="10">
        <v>0</v>
      </c>
      <c r="V8" s="10">
        <v>0</v>
      </c>
      <c r="W8" s="10">
        <v>0</v>
      </c>
      <c r="X8" s="10">
        <v>0</v>
      </c>
      <c r="Y8" s="10">
        <v>0</v>
      </c>
      <c r="Z8" s="10">
        <v>0</v>
      </c>
      <c r="AA8" s="10">
        <v>0</v>
      </c>
      <c r="AC8" s="2" t="s">
        <v>631</v>
      </c>
      <c r="AD8" s="6" t="s">
        <v>637</v>
      </c>
      <c r="AE8" s="6" t="s">
        <v>112</v>
      </c>
    </row>
    <row r="9" spans="1:31" x14ac:dyDescent="0.3">
      <c r="A9" s="6" t="s">
        <v>653</v>
      </c>
      <c r="B9" s="6" t="s">
        <v>762</v>
      </c>
      <c r="C9" s="6" t="s">
        <v>763</v>
      </c>
      <c r="D9" s="7" t="s">
        <v>36</v>
      </c>
      <c r="E9" s="7" t="s">
        <v>37</v>
      </c>
      <c r="F9" s="10">
        <v>1</v>
      </c>
      <c r="G9" s="10">
        <v>0</v>
      </c>
      <c r="H9" s="10">
        <v>0</v>
      </c>
      <c r="I9" s="10">
        <v>0</v>
      </c>
      <c r="J9" s="10">
        <v>0</v>
      </c>
      <c r="K9" s="10">
        <v>0</v>
      </c>
      <c r="L9" s="10">
        <v>0</v>
      </c>
      <c r="M9" s="10">
        <v>0</v>
      </c>
      <c r="N9" s="10">
        <v>0</v>
      </c>
      <c r="O9" s="10">
        <v>0</v>
      </c>
      <c r="P9" s="10">
        <v>0</v>
      </c>
      <c r="R9" s="10">
        <v>0</v>
      </c>
      <c r="S9" s="10">
        <v>0</v>
      </c>
      <c r="T9" s="10">
        <v>0</v>
      </c>
      <c r="U9" s="10">
        <v>0</v>
      </c>
      <c r="V9" s="10">
        <v>0</v>
      </c>
      <c r="W9" s="10">
        <v>0</v>
      </c>
      <c r="X9" s="10">
        <v>0</v>
      </c>
      <c r="Y9" s="10">
        <v>0</v>
      </c>
      <c r="Z9" s="10">
        <v>0</v>
      </c>
      <c r="AA9" s="10">
        <v>0</v>
      </c>
      <c r="AC9" s="2" t="s">
        <v>625</v>
      </c>
      <c r="AD9" s="6" t="s">
        <v>638</v>
      </c>
      <c r="AE9" s="6" t="s">
        <v>116</v>
      </c>
    </row>
    <row r="10" spans="1:31" x14ac:dyDescent="0.3">
      <c r="A10" s="6" t="s">
        <v>654</v>
      </c>
      <c r="B10" s="6" t="s">
        <v>764</v>
      </c>
      <c r="C10" s="6" t="s">
        <v>765</v>
      </c>
      <c r="D10" s="7" t="s">
        <v>38</v>
      </c>
      <c r="E10" s="7" t="s">
        <v>39</v>
      </c>
      <c r="F10" s="10">
        <v>1</v>
      </c>
      <c r="G10" s="10">
        <v>3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R10" s="10" t="s">
        <v>67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C10" s="2" t="s">
        <v>640</v>
      </c>
      <c r="AD10" s="6" t="s">
        <v>639</v>
      </c>
      <c r="AE10" s="6" t="s">
        <v>641</v>
      </c>
    </row>
    <row r="11" spans="1:31" x14ac:dyDescent="0.3">
      <c r="A11" s="6" t="s">
        <v>655</v>
      </c>
      <c r="B11" s="6" t="s">
        <v>766</v>
      </c>
      <c r="C11" s="6" t="s">
        <v>767</v>
      </c>
      <c r="D11" s="7" t="s">
        <v>40</v>
      </c>
      <c r="E11" s="7" t="s">
        <v>41</v>
      </c>
      <c r="F11" s="10">
        <v>1</v>
      </c>
      <c r="G11" s="10">
        <v>1.5</v>
      </c>
      <c r="H11" s="10">
        <v>0</v>
      </c>
      <c r="I11" s="10">
        <v>0</v>
      </c>
      <c r="J11" s="10">
        <v>0</v>
      </c>
      <c r="K11" s="10">
        <v>0</v>
      </c>
      <c r="L11" s="10">
        <v>0</v>
      </c>
      <c r="M11" s="10">
        <v>0</v>
      </c>
      <c r="N11" s="10">
        <v>0</v>
      </c>
      <c r="O11" s="10">
        <v>0</v>
      </c>
      <c r="P11" s="10">
        <v>0</v>
      </c>
      <c r="R11" s="10" t="s">
        <v>67</v>
      </c>
      <c r="S11" s="10">
        <v>0</v>
      </c>
      <c r="T11" s="10">
        <v>0</v>
      </c>
      <c r="U11" s="10">
        <v>0</v>
      </c>
      <c r="V11" s="10">
        <v>0</v>
      </c>
      <c r="W11" s="10">
        <v>0</v>
      </c>
      <c r="X11" s="10">
        <v>0</v>
      </c>
      <c r="Y11" s="10">
        <v>0</v>
      </c>
      <c r="Z11" s="10">
        <v>0</v>
      </c>
      <c r="AA11" s="10">
        <v>0</v>
      </c>
    </row>
    <row r="12" spans="1:31" x14ac:dyDescent="0.3">
      <c r="A12" s="6" t="s">
        <v>656</v>
      </c>
      <c r="B12" s="6" t="s">
        <v>768</v>
      </c>
      <c r="C12" s="6" t="s">
        <v>769</v>
      </c>
      <c r="D12" s="7" t="s">
        <v>42</v>
      </c>
      <c r="E12" s="7" t="s">
        <v>43</v>
      </c>
      <c r="F12" s="10">
        <v>1</v>
      </c>
      <c r="G12" s="10">
        <v>3000</v>
      </c>
      <c r="H12" s="10">
        <v>0</v>
      </c>
      <c r="I12" s="10">
        <v>0</v>
      </c>
      <c r="J12" s="10">
        <v>0</v>
      </c>
      <c r="K12" s="10">
        <v>0</v>
      </c>
      <c r="L12" s="10">
        <v>0</v>
      </c>
      <c r="M12" s="10">
        <v>0</v>
      </c>
      <c r="N12" s="10">
        <v>0</v>
      </c>
      <c r="O12" s="10">
        <v>0</v>
      </c>
      <c r="P12" s="10">
        <v>0</v>
      </c>
      <c r="R12" s="10" t="s">
        <v>68</v>
      </c>
      <c r="S12" s="10">
        <v>0</v>
      </c>
      <c r="T12" s="10">
        <v>0</v>
      </c>
      <c r="U12" s="10">
        <v>0</v>
      </c>
      <c r="V12" s="10">
        <v>0</v>
      </c>
      <c r="W12" s="10">
        <v>0</v>
      </c>
      <c r="X12" s="10">
        <v>0</v>
      </c>
      <c r="Y12" s="10">
        <v>0</v>
      </c>
      <c r="Z12" s="10">
        <v>0</v>
      </c>
      <c r="AA12" s="10">
        <v>0</v>
      </c>
    </row>
    <row r="13" spans="1:31" x14ac:dyDescent="0.3">
      <c r="A13" s="6" t="s">
        <v>657</v>
      </c>
      <c r="B13" s="6" t="s">
        <v>770</v>
      </c>
      <c r="C13" s="6" t="s">
        <v>771</v>
      </c>
      <c r="D13" s="7" t="s">
        <v>44</v>
      </c>
      <c r="E13" s="7" t="s">
        <v>45</v>
      </c>
      <c r="F13" s="10">
        <v>1</v>
      </c>
      <c r="G13" s="10">
        <v>0</v>
      </c>
      <c r="H13" s="10">
        <v>0</v>
      </c>
      <c r="I13" s="10">
        <v>0</v>
      </c>
      <c r="J13" s="10">
        <v>0</v>
      </c>
      <c r="K13" s="10">
        <v>0</v>
      </c>
      <c r="L13" s="10">
        <v>0</v>
      </c>
      <c r="M13" s="10">
        <v>0</v>
      </c>
      <c r="N13" s="10">
        <v>0</v>
      </c>
      <c r="O13" s="10">
        <v>0</v>
      </c>
      <c r="P13" s="10">
        <v>0</v>
      </c>
      <c r="R13" s="10">
        <v>0</v>
      </c>
      <c r="S13" s="10">
        <v>0</v>
      </c>
      <c r="T13" s="10">
        <v>0</v>
      </c>
      <c r="U13" s="10">
        <v>0</v>
      </c>
      <c r="V13" s="10">
        <v>0</v>
      </c>
      <c r="W13" s="10">
        <v>0</v>
      </c>
      <c r="X13" s="10">
        <v>0</v>
      </c>
      <c r="Y13" s="10">
        <v>0</v>
      </c>
      <c r="Z13" s="10">
        <v>0</v>
      </c>
      <c r="AA13" s="10">
        <v>0</v>
      </c>
    </row>
    <row r="14" spans="1:31" x14ac:dyDescent="0.3">
      <c r="A14" s="6" t="s">
        <v>658</v>
      </c>
      <c r="B14" s="6" t="s">
        <v>772</v>
      </c>
      <c r="C14" s="6" t="s">
        <v>773</v>
      </c>
      <c r="D14" s="7" t="s">
        <v>46</v>
      </c>
      <c r="E14" s="7" t="s">
        <v>47</v>
      </c>
      <c r="F14" s="10">
        <v>1</v>
      </c>
      <c r="G14" s="10">
        <v>2.25</v>
      </c>
      <c r="H14" s="10">
        <v>0</v>
      </c>
      <c r="I14" s="10">
        <v>0</v>
      </c>
      <c r="J14" s="10">
        <v>0</v>
      </c>
      <c r="K14" s="10">
        <v>0</v>
      </c>
      <c r="L14" s="10">
        <v>0</v>
      </c>
      <c r="M14" s="10">
        <v>0</v>
      </c>
      <c r="N14" s="10">
        <v>0</v>
      </c>
      <c r="O14" s="10">
        <v>0</v>
      </c>
      <c r="P14" s="10">
        <v>0</v>
      </c>
      <c r="R14" s="10" t="s">
        <v>67</v>
      </c>
      <c r="S14" s="10">
        <v>0</v>
      </c>
      <c r="T14" s="10">
        <v>0</v>
      </c>
      <c r="U14" s="10">
        <v>0</v>
      </c>
      <c r="V14" s="10">
        <v>0</v>
      </c>
      <c r="W14" s="10">
        <v>0</v>
      </c>
      <c r="X14" s="10">
        <v>0</v>
      </c>
      <c r="Y14" s="10">
        <v>0</v>
      </c>
      <c r="Z14" s="10">
        <v>0</v>
      </c>
      <c r="AA14" s="10">
        <v>0</v>
      </c>
    </row>
    <row r="15" spans="1:31" x14ac:dyDescent="0.3">
      <c r="A15" s="6" t="s">
        <v>659</v>
      </c>
      <c r="B15" s="6" t="s">
        <v>774</v>
      </c>
      <c r="C15" s="6" t="s">
        <v>775</v>
      </c>
      <c r="D15" s="7" t="s">
        <v>48</v>
      </c>
      <c r="E15" s="7" t="s">
        <v>49</v>
      </c>
      <c r="F15" s="10">
        <v>1</v>
      </c>
      <c r="G15" s="10">
        <v>0.1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R15" s="10" t="s">
        <v>82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</row>
    <row r="16" spans="1:31" x14ac:dyDescent="0.3">
      <c r="A16" s="6" t="s">
        <v>660</v>
      </c>
      <c r="B16" s="6" t="s">
        <v>776</v>
      </c>
      <c r="C16" s="6" t="s">
        <v>777</v>
      </c>
      <c r="D16" s="7" t="s">
        <v>50</v>
      </c>
      <c r="E16" s="7" t="s">
        <v>51</v>
      </c>
      <c r="F16" s="10">
        <v>1</v>
      </c>
      <c r="G16" s="10">
        <v>3000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R16" s="10" t="s">
        <v>68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</row>
    <row r="17" spans="1:27" x14ac:dyDescent="0.3">
      <c r="A17" s="6" t="s">
        <v>661</v>
      </c>
      <c r="B17" s="6" t="s">
        <v>778</v>
      </c>
      <c r="C17" s="6" t="s">
        <v>779</v>
      </c>
      <c r="D17" s="7" t="s">
        <v>52</v>
      </c>
      <c r="E17" s="7" t="s">
        <v>53</v>
      </c>
      <c r="F17" s="10">
        <v>1</v>
      </c>
      <c r="G17" s="10">
        <v>3000</v>
      </c>
      <c r="H17" s="10">
        <v>0</v>
      </c>
      <c r="I17" s="10">
        <v>0</v>
      </c>
      <c r="J17" s="10">
        <v>0</v>
      </c>
      <c r="K17" s="10">
        <v>0</v>
      </c>
      <c r="L17" s="10">
        <v>0</v>
      </c>
      <c r="M17" s="10">
        <v>0</v>
      </c>
      <c r="N17" s="10">
        <v>0</v>
      </c>
      <c r="O17" s="10">
        <v>0</v>
      </c>
      <c r="P17" s="10">
        <v>0</v>
      </c>
      <c r="R17" s="10" t="s">
        <v>68</v>
      </c>
      <c r="S17" s="10">
        <v>0</v>
      </c>
      <c r="T17" s="10">
        <v>0</v>
      </c>
      <c r="U17" s="10">
        <v>0</v>
      </c>
      <c r="V17" s="10">
        <v>0</v>
      </c>
      <c r="W17" s="10">
        <v>0</v>
      </c>
      <c r="X17" s="10">
        <v>0</v>
      </c>
      <c r="Y17" s="10">
        <v>0</v>
      </c>
      <c r="Z17" s="10">
        <v>0</v>
      </c>
      <c r="AA17" s="10">
        <v>0</v>
      </c>
    </row>
    <row r="18" spans="1:27" x14ac:dyDescent="0.3">
      <c r="A18" s="6" t="s">
        <v>662</v>
      </c>
      <c r="B18" s="6" t="s">
        <v>780</v>
      </c>
      <c r="C18" s="6" t="s">
        <v>781</v>
      </c>
      <c r="D18" s="7" t="s">
        <v>54</v>
      </c>
      <c r="E18" s="7" t="s">
        <v>55</v>
      </c>
      <c r="F18" s="10">
        <v>1</v>
      </c>
      <c r="G18" s="10">
        <v>5</v>
      </c>
      <c r="H18" s="10">
        <v>0</v>
      </c>
      <c r="I18" s="10">
        <v>0</v>
      </c>
      <c r="J18" s="10">
        <v>0</v>
      </c>
      <c r="K18" s="10">
        <v>0</v>
      </c>
      <c r="L18" s="10">
        <v>0</v>
      </c>
      <c r="M18" s="10">
        <v>0</v>
      </c>
      <c r="N18" s="10">
        <v>0</v>
      </c>
      <c r="O18" s="10">
        <v>0</v>
      </c>
      <c r="P18" s="10">
        <v>0</v>
      </c>
      <c r="R18" s="10" t="s">
        <v>66</v>
      </c>
      <c r="S18" s="10">
        <v>0</v>
      </c>
      <c r="T18" s="10">
        <v>0</v>
      </c>
      <c r="U18" s="10">
        <v>0</v>
      </c>
      <c r="V18" s="10">
        <v>0</v>
      </c>
      <c r="W18" s="10">
        <v>0</v>
      </c>
      <c r="X18" s="10">
        <v>0</v>
      </c>
      <c r="Y18" s="10">
        <v>0</v>
      </c>
      <c r="Z18" s="10">
        <v>0</v>
      </c>
      <c r="AA18" s="10">
        <v>0</v>
      </c>
    </row>
    <row r="19" spans="1:27" x14ac:dyDescent="0.3">
      <c r="A19" s="6" t="s">
        <v>663</v>
      </c>
      <c r="B19" s="6" t="s">
        <v>782</v>
      </c>
      <c r="C19" s="6" t="s">
        <v>783</v>
      </c>
      <c r="D19" s="7" t="s">
        <v>56</v>
      </c>
      <c r="E19" s="7" t="s">
        <v>57</v>
      </c>
      <c r="F19" s="10">
        <v>1</v>
      </c>
      <c r="G19" s="10">
        <v>3</v>
      </c>
      <c r="H19" s="10">
        <v>0</v>
      </c>
      <c r="I19" s="10">
        <v>0</v>
      </c>
      <c r="J19" s="10">
        <v>0</v>
      </c>
      <c r="K19" s="10">
        <v>0</v>
      </c>
      <c r="L19" s="10">
        <v>0</v>
      </c>
      <c r="M19" s="10">
        <v>0</v>
      </c>
      <c r="N19" s="10">
        <v>0</v>
      </c>
      <c r="O19" s="10">
        <v>0</v>
      </c>
      <c r="P19" s="10">
        <v>0</v>
      </c>
      <c r="R19" s="10" t="s">
        <v>69</v>
      </c>
      <c r="S19" s="10">
        <v>0</v>
      </c>
      <c r="T19" s="10">
        <v>0</v>
      </c>
      <c r="U19" s="10">
        <v>0</v>
      </c>
      <c r="V19" s="10">
        <v>0</v>
      </c>
      <c r="W19" s="10">
        <v>0</v>
      </c>
      <c r="X19" s="10">
        <v>0</v>
      </c>
      <c r="Y19" s="10">
        <v>0</v>
      </c>
      <c r="Z19" s="10">
        <v>0</v>
      </c>
      <c r="AA19" s="10">
        <v>0</v>
      </c>
    </row>
    <row r="20" spans="1:27" x14ac:dyDescent="0.3">
      <c r="A20" s="6" t="s">
        <v>664</v>
      </c>
      <c r="B20" s="6" t="s">
        <v>784</v>
      </c>
      <c r="C20" s="6" t="s">
        <v>785</v>
      </c>
      <c r="D20" s="7" t="s">
        <v>58</v>
      </c>
      <c r="E20" s="7" t="s">
        <v>59</v>
      </c>
      <c r="F20" s="10">
        <v>1</v>
      </c>
      <c r="G20" s="10">
        <v>2.5</v>
      </c>
      <c r="H20" s="10">
        <v>0</v>
      </c>
      <c r="I20" s="10">
        <v>0</v>
      </c>
      <c r="J20" s="10">
        <v>0</v>
      </c>
      <c r="K20" s="10">
        <v>0</v>
      </c>
      <c r="L20" s="10">
        <v>0</v>
      </c>
      <c r="M20" s="10">
        <v>0</v>
      </c>
      <c r="N20" s="10">
        <v>0</v>
      </c>
      <c r="O20" s="10">
        <v>0</v>
      </c>
      <c r="P20" s="10">
        <v>0</v>
      </c>
      <c r="R20" s="10" t="s">
        <v>67</v>
      </c>
      <c r="S20" s="10">
        <v>0</v>
      </c>
      <c r="T20" s="10">
        <v>0</v>
      </c>
      <c r="U20" s="10">
        <v>0</v>
      </c>
      <c r="V20" s="10">
        <v>0</v>
      </c>
      <c r="W20" s="10">
        <v>0</v>
      </c>
      <c r="X20" s="10">
        <v>0</v>
      </c>
      <c r="Y20" s="10">
        <v>0</v>
      </c>
      <c r="Z20" s="10">
        <v>0</v>
      </c>
      <c r="AA20" s="10">
        <v>0</v>
      </c>
    </row>
    <row r="21" spans="1:27" x14ac:dyDescent="0.3">
      <c r="A21" s="6" t="s">
        <v>665</v>
      </c>
      <c r="B21" s="6" t="s">
        <v>786</v>
      </c>
      <c r="C21" s="6" t="s">
        <v>787</v>
      </c>
      <c r="D21" s="7" t="s">
        <v>60</v>
      </c>
      <c r="E21" s="7" t="s">
        <v>61</v>
      </c>
      <c r="F21" s="10">
        <v>1</v>
      </c>
      <c r="G21" s="10">
        <v>7</v>
      </c>
      <c r="H21" s="10">
        <v>0</v>
      </c>
      <c r="I21" s="10">
        <v>0</v>
      </c>
      <c r="J21" s="10">
        <v>0</v>
      </c>
      <c r="K21" s="10">
        <v>0</v>
      </c>
      <c r="L21" s="10">
        <v>0</v>
      </c>
      <c r="M21" s="10">
        <v>0</v>
      </c>
      <c r="N21" s="10">
        <v>0</v>
      </c>
      <c r="O21" s="10">
        <v>0</v>
      </c>
      <c r="P21" s="10">
        <v>0</v>
      </c>
      <c r="R21" s="10" t="s">
        <v>71</v>
      </c>
      <c r="S21" s="10">
        <v>0</v>
      </c>
      <c r="T21" s="10">
        <v>0</v>
      </c>
      <c r="U21" s="10">
        <v>0</v>
      </c>
      <c r="V21" s="10">
        <v>0</v>
      </c>
      <c r="W21" s="10">
        <v>0</v>
      </c>
      <c r="X21" s="10">
        <v>0</v>
      </c>
      <c r="Y21" s="10">
        <v>0</v>
      </c>
      <c r="Z21" s="10">
        <v>0</v>
      </c>
      <c r="AA21" s="10">
        <v>0</v>
      </c>
    </row>
    <row r="22" spans="1:27" x14ac:dyDescent="0.3">
      <c r="A22" s="6" t="s">
        <v>666</v>
      </c>
      <c r="B22" s="6" t="s">
        <v>788</v>
      </c>
      <c r="C22" s="6" t="s">
        <v>789</v>
      </c>
      <c r="D22" s="7" t="s">
        <v>62</v>
      </c>
      <c r="E22" s="7" t="s">
        <v>63</v>
      </c>
      <c r="F22" s="10">
        <v>1</v>
      </c>
      <c r="G22" s="10">
        <v>2500</v>
      </c>
      <c r="H22" s="10">
        <v>2000</v>
      </c>
      <c r="I22" s="10">
        <v>1500</v>
      </c>
      <c r="J22" s="10">
        <v>1300</v>
      </c>
      <c r="K22" s="10">
        <v>1100</v>
      </c>
      <c r="L22" s="10">
        <v>1000</v>
      </c>
      <c r="M22" s="10">
        <v>700</v>
      </c>
      <c r="N22" s="10">
        <v>500</v>
      </c>
      <c r="O22" s="10">
        <v>300</v>
      </c>
      <c r="P22" s="10">
        <v>100</v>
      </c>
      <c r="R22" s="10" t="s">
        <v>72</v>
      </c>
      <c r="S22" s="10" t="s">
        <v>73</v>
      </c>
      <c r="T22" s="10" t="s">
        <v>74</v>
      </c>
      <c r="U22" s="10" t="s">
        <v>75</v>
      </c>
      <c r="V22" s="10" t="s">
        <v>76</v>
      </c>
      <c r="W22" s="10" t="s">
        <v>77</v>
      </c>
      <c r="X22" s="10" t="s">
        <v>78</v>
      </c>
      <c r="Y22" s="10" t="s">
        <v>79</v>
      </c>
      <c r="Z22" s="10" t="s">
        <v>80</v>
      </c>
      <c r="AA22" s="10" t="s">
        <v>81</v>
      </c>
    </row>
    <row r="23" spans="1:27" x14ac:dyDescent="0.3">
      <c r="A23" s="6" t="s">
        <v>667</v>
      </c>
      <c r="B23" s="6" t="s">
        <v>790</v>
      </c>
      <c r="C23" s="6" t="s">
        <v>791</v>
      </c>
      <c r="D23" s="7" t="s">
        <v>64</v>
      </c>
      <c r="E23" s="7" t="s">
        <v>65</v>
      </c>
      <c r="F23" s="10">
        <v>1</v>
      </c>
      <c r="G23" s="10">
        <v>2000</v>
      </c>
      <c r="H23" s="10">
        <v>0</v>
      </c>
      <c r="I23" s="10">
        <v>0</v>
      </c>
      <c r="J23" s="10">
        <v>0</v>
      </c>
      <c r="K23" s="10">
        <v>0</v>
      </c>
      <c r="L23" s="10">
        <v>0</v>
      </c>
      <c r="M23" s="10">
        <v>0</v>
      </c>
      <c r="N23" s="10">
        <v>0</v>
      </c>
      <c r="O23" s="10">
        <v>0</v>
      </c>
      <c r="P23" s="10">
        <v>0</v>
      </c>
      <c r="R23" s="10" t="s">
        <v>68</v>
      </c>
      <c r="S23" s="10">
        <v>0</v>
      </c>
      <c r="T23" s="10">
        <v>0</v>
      </c>
      <c r="U23" s="10">
        <v>0</v>
      </c>
      <c r="V23" s="10">
        <v>0</v>
      </c>
      <c r="W23" s="10">
        <v>0</v>
      </c>
      <c r="X23" s="10">
        <v>0</v>
      </c>
      <c r="Y23" s="10">
        <v>0</v>
      </c>
      <c r="Z23" s="10">
        <v>0</v>
      </c>
      <c r="AA23" s="10">
        <v>0</v>
      </c>
    </row>
    <row r="24" spans="1:27" x14ac:dyDescent="0.3">
      <c r="A24" s="6" t="s">
        <v>668</v>
      </c>
      <c r="B24" s="6" t="s">
        <v>792</v>
      </c>
      <c r="C24" s="6" t="s">
        <v>793</v>
      </c>
      <c r="D24" s="7" t="s">
        <v>577</v>
      </c>
      <c r="E24" s="7" t="s">
        <v>590</v>
      </c>
      <c r="F24" s="10">
        <v>1</v>
      </c>
      <c r="G24" s="6">
        <v>500</v>
      </c>
      <c r="H24" s="6">
        <v>1</v>
      </c>
      <c r="I24" s="6">
        <v>0</v>
      </c>
      <c r="J24" s="6">
        <v>0</v>
      </c>
      <c r="K24" s="6">
        <v>0</v>
      </c>
      <c r="L24" s="6">
        <v>0</v>
      </c>
      <c r="M24" s="6">
        <v>0</v>
      </c>
      <c r="N24" s="6">
        <v>0</v>
      </c>
      <c r="O24" s="6">
        <v>0</v>
      </c>
      <c r="P24" s="6">
        <v>0</v>
      </c>
      <c r="R24" s="10" t="s">
        <v>68</v>
      </c>
      <c r="S24" s="10" t="s">
        <v>595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</row>
    <row r="25" spans="1:27" x14ac:dyDescent="0.3">
      <c r="A25" s="6" t="s">
        <v>669</v>
      </c>
      <c r="B25" s="6" t="s">
        <v>794</v>
      </c>
      <c r="C25" s="6" t="s">
        <v>795</v>
      </c>
      <c r="D25" s="7" t="s">
        <v>578</v>
      </c>
      <c r="E25" s="7" t="s">
        <v>591</v>
      </c>
      <c r="F25" s="10">
        <v>1</v>
      </c>
      <c r="G25" s="6">
        <v>0</v>
      </c>
      <c r="H25" s="6">
        <v>2</v>
      </c>
      <c r="I25" s="6">
        <v>0</v>
      </c>
      <c r="J25" s="6">
        <v>0</v>
      </c>
      <c r="K25" s="6">
        <v>0</v>
      </c>
      <c r="L25" s="6">
        <v>0</v>
      </c>
      <c r="M25" s="6">
        <v>0</v>
      </c>
      <c r="N25" s="6">
        <v>0</v>
      </c>
      <c r="O25" s="6">
        <v>0</v>
      </c>
      <c r="P25" s="6">
        <v>0</v>
      </c>
      <c r="R25" s="10" t="s">
        <v>595</v>
      </c>
      <c r="S25" s="10" t="s">
        <v>67</v>
      </c>
      <c r="T25" s="10">
        <v>0</v>
      </c>
      <c r="U25" s="10">
        <v>0</v>
      </c>
      <c r="V25" s="10">
        <v>0</v>
      </c>
      <c r="W25" s="10">
        <v>0</v>
      </c>
      <c r="X25" s="10">
        <v>0</v>
      </c>
      <c r="Y25" s="10">
        <v>0</v>
      </c>
      <c r="Z25" s="10">
        <v>0</v>
      </c>
      <c r="AA25" s="10">
        <v>0</v>
      </c>
    </row>
    <row r="26" spans="1:27" x14ac:dyDescent="0.3">
      <c r="A26" s="6" t="s">
        <v>670</v>
      </c>
      <c r="B26" s="6" t="s">
        <v>796</v>
      </c>
      <c r="C26" s="6" t="s">
        <v>797</v>
      </c>
      <c r="D26" s="7" t="s">
        <v>579</v>
      </c>
      <c r="E26" s="7" t="s">
        <v>592</v>
      </c>
      <c r="F26" s="10">
        <v>1</v>
      </c>
      <c r="G26" s="6">
        <v>30</v>
      </c>
      <c r="H26" s="6">
        <v>1</v>
      </c>
      <c r="I26" s="6">
        <v>0</v>
      </c>
      <c r="J26" s="6">
        <v>0</v>
      </c>
      <c r="K26" s="6">
        <v>0</v>
      </c>
      <c r="L26" s="6">
        <v>0</v>
      </c>
      <c r="M26" s="6">
        <v>0</v>
      </c>
      <c r="N26" s="6">
        <v>0</v>
      </c>
      <c r="O26" s="6">
        <v>0</v>
      </c>
      <c r="P26" s="6">
        <v>0</v>
      </c>
      <c r="R26" s="10" t="s">
        <v>596</v>
      </c>
      <c r="S26" s="10" t="s">
        <v>595</v>
      </c>
      <c r="T26" s="10">
        <v>0</v>
      </c>
      <c r="U26" s="10">
        <v>0</v>
      </c>
      <c r="V26" s="10">
        <v>0</v>
      </c>
      <c r="W26" s="10">
        <v>0</v>
      </c>
      <c r="X26" s="10">
        <v>0</v>
      </c>
      <c r="Y26" s="10">
        <v>0</v>
      </c>
      <c r="Z26" s="10">
        <v>0</v>
      </c>
      <c r="AA26" s="10">
        <v>0</v>
      </c>
    </row>
    <row r="27" spans="1:27" x14ac:dyDescent="0.3">
      <c r="A27" s="6" t="s">
        <v>671</v>
      </c>
      <c r="B27" s="6" t="s">
        <v>798</v>
      </c>
      <c r="C27" s="6" t="s">
        <v>799</v>
      </c>
      <c r="D27" s="7" t="s">
        <v>580</v>
      </c>
      <c r="E27" s="7" t="s">
        <v>593</v>
      </c>
      <c r="F27" s="10">
        <v>1</v>
      </c>
      <c r="G27" s="6">
        <v>1</v>
      </c>
      <c r="H27" s="6">
        <v>2</v>
      </c>
      <c r="I27" s="6">
        <v>0</v>
      </c>
      <c r="J27" s="6">
        <v>0</v>
      </c>
      <c r="K27" s="6">
        <v>0</v>
      </c>
      <c r="L27" s="6">
        <v>0</v>
      </c>
      <c r="M27" s="6">
        <v>0</v>
      </c>
      <c r="N27" s="6">
        <v>0</v>
      </c>
      <c r="O27" s="6">
        <v>0</v>
      </c>
      <c r="P27" s="6">
        <v>0</v>
      </c>
      <c r="R27" s="10" t="s">
        <v>595</v>
      </c>
      <c r="S27" s="10" t="s">
        <v>69</v>
      </c>
      <c r="T27" s="10">
        <v>0</v>
      </c>
      <c r="U27" s="10">
        <v>0</v>
      </c>
      <c r="V27" s="10">
        <v>0</v>
      </c>
      <c r="W27" s="10">
        <v>0</v>
      </c>
      <c r="X27" s="10">
        <v>0</v>
      </c>
      <c r="Y27" s="10">
        <v>0</v>
      </c>
      <c r="Z27" s="10">
        <v>0</v>
      </c>
      <c r="AA27" s="10">
        <v>0</v>
      </c>
    </row>
    <row r="28" spans="1:27" x14ac:dyDescent="0.3">
      <c r="A28" s="6" t="s">
        <v>672</v>
      </c>
      <c r="B28" s="6" t="s">
        <v>800</v>
      </c>
      <c r="C28" s="6" t="s">
        <v>801</v>
      </c>
      <c r="D28" s="7" t="s">
        <v>581</v>
      </c>
      <c r="E28" s="7" t="s">
        <v>594</v>
      </c>
      <c r="F28" s="10">
        <v>1</v>
      </c>
      <c r="G28" s="6">
        <v>2</v>
      </c>
      <c r="H28" s="6">
        <v>2</v>
      </c>
      <c r="I28" s="6">
        <v>1.2</v>
      </c>
      <c r="J28" s="6">
        <v>0</v>
      </c>
      <c r="K28" s="6">
        <v>0</v>
      </c>
      <c r="L28" s="6">
        <v>0</v>
      </c>
      <c r="M28" s="6">
        <v>0</v>
      </c>
      <c r="N28" s="6">
        <v>0</v>
      </c>
      <c r="O28" s="6">
        <v>0</v>
      </c>
      <c r="P28" s="6">
        <v>0</v>
      </c>
      <c r="R28" s="10" t="s">
        <v>67</v>
      </c>
      <c r="S28" s="10" t="s">
        <v>67</v>
      </c>
      <c r="T28" s="10" t="s">
        <v>67</v>
      </c>
      <c r="U28" s="10">
        <v>0</v>
      </c>
      <c r="V28" s="10">
        <v>0</v>
      </c>
      <c r="W28" s="10">
        <v>0</v>
      </c>
      <c r="X28" s="10">
        <v>0</v>
      </c>
      <c r="Y28" s="10">
        <v>0</v>
      </c>
      <c r="Z28" s="10">
        <v>0</v>
      </c>
      <c r="AA28" s="10">
        <v>0</v>
      </c>
    </row>
    <row r="29" spans="1:27" x14ac:dyDescent="0.3">
      <c r="A29" s="6" t="s">
        <v>673</v>
      </c>
      <c r="B29" s="6" t="s">
        <v>802</v>
      </c>
      <c r="C29" s="6" t="s">
        <v>803</v>
      </c>
      <c r="D29" s="7" t="s">
        <v>582</v>
      </c>
      <c r="E29" s="7" t="s">
        <v>597</v>
      </c>
      <c r="F29" s="10">
        <v>1</v>
      </c>
      <c r="G29" s="6">
        <v>1</v>
      </c>
      <c r="H29" s="6">
        <v>10</v>
      </c>
      <c r="I29" s="6">
        <v>1.2</v>
      </c>
      <c r="J29" s="6">
        <v>0</v>
      </c>
      <c r="K29" s="6">
        <v>0</v>
      </c>
      <c r="L29" s="6">
        <v>0</v>
      </c>
      <c r="M29" s="6">
        <v>0</v>
      </c>
      <c r="N29" s="6">
        <v>0</v>
      </c>
      <c r="O29" s="6">
        <v>0</v>
      </c>
      <c r="P29" s="6">
        <v>0</v>
      </c>
      <c r="R29" s="10" t="s">
        <v>595</v>
      </c>
      <c r="S29" s="10" t="s">
        <v>595</v>
      </c>
      <c r="T29" s="10" t="s">
        <v>67</v>
      </c>
      <c r="U29" s="10">
        <v>0</v>
      </c>
      <c r="V29" s="10">
        <v>0</v>
      </c>
      <c r="W29" s="10">
        <v>0</v>
      </c>
      <c r="X29" s="10">
        <v>0</v>
      </c>
      <c r="Y29" s="10">
        <v>0</v>
      </c>
      <c r="Z29" s="10">
        <v>0</v>
      </c>
      <c r="AA29" s="10">
        <v>0</v>
      </c>
    </row>
    <row r="30" spans="1:27" x14ac:dyDescent="0.3">
      <c r="A30" s="6" t="s">
        <v>674</v>
      </c>
      <c r="B30" s="6" t="s">
        <v>804</v>
      </c>
      <c r="C30" s="6" t="s">
        <v>805</v>
      </c>
      <c r="D30" s="7" t="s">
        <v>583</v>
      </c>
      <c r="E30" s="7" t="s">
        <v>598</v>
      </c>
      <c r="F30" s="10">
        <v>1</v>
      </c>
      <c r="G30" s="6">
        <v>1</v>
      </c>
      <c r="H30" s="6">
        <v>1</v>
      </c>
      <c r="I30" s="6">
        <v>0.1</v>
      </c>
      <c r="J30" s="6">
        <v>0</v>
      </c>
      <c r="K30" s="6">
        <v>0</v>
      </c>
      <c r="L30" s="6">
        <v>0</v>
      </c>
      <c r="M30" s="6">
        <v>0</v>
      </c>
      <c r="N30" s="6">
        <v>0</v>
      </c>
      <c r="O30" s="6">
        <v>0</v>
      </c>
      <c r="P30" s="6">
        <v>0</v>
      </c>
      <c r="R30" s="10" t="s">
        <v>67</v>
      </c>
      <c r="S30" s="10" t="s">
        <v>595</v>
      </c>
      <c r="T30" s="10" t="s">
        <v>67</v>
      </c>
      <c r="U30" s="10">
        <v>0</v>
      </c>
      <c r="V30" s="10">
        <v>0</v>
      </c>
      <c r="W30" s="10">
        <v>0</v>
      </c>
      <c r="X30" s="10">
        <v>0</v>
      </c>
      <c r="Y30" s="10">
        <v>0</v>
      </c>
      <c r="Z30" s="10">
        <v>0</v>
      </c>
      <c r="AA30" s="10">
        <v>0</v>
      </c>
    </row>
    <row r="31" spans="1:27" x14ac:dyDescent="0.3">
      <c r="A31" s="6" t="s">
        <v>675</v>
      </c>
      <c r="B31" s="6" t="s">
        <v>806</v>
      </c>
      <c r="C31" s="6" t="s">
        <v>807</v>
      </c>
      <c r="D31" s="7" t="s">
        <v>584</v>
      </c>
      <c r="E31" s="7" t="s">
        <v>599</v>
      </c>
      <c r="F31" s="10">
        <v>1</v>
      </c>
      <c r="G31" s="6">
        <v>1000</v>
      </c>
      <c r="H31" s="6">
        <v>100</v>
      </c>
      <c r="I31" s="6">
        <v>0</v>
      </c>
      <c r="J31" s="6">
        <v>0</v>
      </c>
      <c r="K31" s="6">
        <v>0</v>
      </c>
      <c r="L31" s="6">
        <v>0</v>
      </c>
      <c r="M31" s="6">
        <v>0</v>
      </c>
      <c r="N31" s="6">
        <v>0</v>
      </c>
      <c r="O31" s="6">
        <v>0</v>
      </c>
      <c r="P31" s="6">
        <v>0</v>
      </c>
      <c r="R31" s="10" t="s">
        <v>68</v>
      </c>
      <c r="S31" s="10" t="s">
        <v>68</v>
      </c>
      <c r="T31" s="10">
        <v>0</v>
      </c>
      <c r="U31" s="10">
        <v>0</v>
      </c>
      <c r="V31" s="10">
        <v>0</v>
      </c>
      <c r="W31" s="10">
        <v>0</v>
      </c>
      <c r="X31" s="10">
        <v>0</v>
      </c>
      <c r="Y31" s="10">
        <v>0</v>
      </c>
      <c r="Z31" s="10">
        <v>0</v>
      </c>
      <c r="AA31" s="10">
        <v>0</v>
      </c>
    </row>
    <row r="32" spans="1:27" x14ac:dyDescent="0.3">
      <c r="A32" s="6" t="s">
        <v>676</v>
      </c>
      <c r="B32" s="6" t="s">
        <v>808</v>
      </c>
      <c r="C32" s="6" t="s">
        <v>809</v>
      </c>
      <c r="D32" s="7" t="s">
        <v>585</v>
      </c>
      <c r="E32" s="7" t="s">
        <v>601</v>
      </c>
      <c r="F32" s="10">
        <v>3</v>
      </c>
      <c r="G32" s="6">
        <v>3</v>
      </c>
      <c r="H32" s="6">
        <v>1</v>
      </c>
      <c r="I32" s="6">
        <v>0</v>
      </c>
      <c r="J32" s="6">
        <v>0</v>
      </c>
      <c r="K32" s="6">
        <v>0</v>
      </c>
      <c r="L32" s="6">
        <v>0</v>
      </c>
      <c r="M32" s="6">
        <v>0</v>
      </c>
      <c r="N32" s="6">
        <v>0</v>
      </c>
      <c r="O32" s="6">
        <v>0</v>
      </c>
      <c r="P32" s="6">
        <v>0</v>
      </c>
      <c r="R32" s="10" t="s">
        <v>600</v>
      </c>
      <c r="S32" s="10" t="s">
        <v>595</v>
      </c>
      <c r="T32" s="10">
        <v>0</v>
      </c>
      <c r="U32" s="10">
        <v>0</v>
      </c>
      <c r="V32" s="10">
        <v>0</v>
      </c>
      <c r="W32" s="10">
        <v>0</v>
      </c>
      <c r="X32" s="10">
        <v>0</v>
      </c>
      <c r="Y32" s="10">
        <v>0</v>
      </c>
      <c r="Z32" s="10">
        <v>0</v>
      </c>
      <c r="AA32" s="10">
        <v>0</v>
      </c>
    </row>
    <row r="33" spans="1:27" x14ac:dyDescent="0.3">
      <c r="A33" s="6" t="s">
        <v>677</v>
      </c>
      <c r="B33" s="6" t="s">
        <v>810</v>
      </c>
      <c r="C33" s="6" t="s">
        <v>811</v>
      </c>
      <c r="D33" s="7" t="s">
        <v>586</v>
      </c>
      <c r="E33" s="7" t="s">
        <v>601</v>
      </c>
      <c r="F33" s="10">
        <v>2</v>
      </c>
      <c r="G33" s="6">
        <v>5</v>
      </c>
      <c r="H33" s="6">
        <v>1</v>
      </c>
      <c r="I33" s="6">
        <v>0</v>
      </c>
      <c r="J33" s="6">
        <v>0</v>
      </c>
      <c r="K33" s="6">
        <v>0</v>
      </c>
      <c r="L33" s="6">
        <v>0</v>
      </c>
      <c r="M33" s="6">
        <v>0</v>
      </c>
      <c r="N33" s="6">
        <v>0</v>
      </c>
      <c r="O33" s="6">
        <v>0</v>
      </c>
      <c r="P33" s="6">
        <v>0</v>
      </c>
      <c r="R33" s="10" t="s">
        <v>600</v>
      </c>
      <c r="S33" s="10" t="s">
        <v>595</v>
      </c>
      <c r="T33" s="10">
        <v>0</v>
      </c>
      <c r="U33" s="10">
        <v>0</v>
      </c>
      <c r="V33" s="10">
        <v>0</v>
      </c>
      <c r="W33" s="10">
        <v>0</v>
      </c>
      <c r="X33" s="10">
        <v>0</v>
      </c>
      <c r="Y33" s="10">
        <v>0</v>
      </c>
      <c r="Z33" s="10">
        <v>0</v>
      </c>
      <c r="AA33" s="10">
        <v>0</v>
      </c>
    </row>
    <row r="34" spans="1:27" x14ac:dyDescent="0.3">
      <c r="A34" s="6" t="s">
        <v>678</v>
      </c>
      <c r="B34" s="6" t="s">
        <v>812</v>
      </c>
      <c r="C34" s="6" t="s">
        <v>813</v>
      </c>
      <c r="D34" s="7" t="s">
        <v>587</v>
      </c>
      <c r="E34" s="7" t="s">
        <v>601</v>
      </c>
      <c r="F34" s="10">
        <v>2</v>
      </c>
      <c r="G34" s="6">
        <v>7</v>
      </c>
      <c r="H34" s="6">
        <v>1</v>
      </c>
      <c r="I34" s="6">
        <v>0</v>
      </c>
      <c r="J34" s="6">
        <v>0</v>
      </c>
      <c r="K34" s="6">
        <v>0</v>
      </c>
      <c r="L34" s="6">
        <v>0</v>
      </c>
      <c r="M34" s="6">
        <v>0</v>
      </c>
      <c r="N34" s="6">
        <v>0</v>
      </c>
      <c r="O34" s="6">
        <v>0</v>
      </c>
      <c r="P34" s="6">
        <v>0</v>
      </c>
      <c r="R34" s="10" t="s">
        <v>600</v>
      </c>
      <c r="S34" s="10" t="s">
        <v>595</v>
      </c>
      <c r="T34" s="10">
        <v>0</v>
      </c>
      <c r="U34" s="10">
        <v>0</v>
      </c>
      <c r="V34" s="10">
        <v>0</v>
      </c>
      <c r="W34" s="10">
        <v>0</v>
      </c>
      <c r="X34" s="10">
        <v>0</v>
      </c>
      <c r="Y34" s="10">
        <v>0</v>
      </c>
      <c r="Z34" s="10">
        <v>0</v>
      </c>
      <c r="AA34" s="10">
        <v>0</v>
      </c>
    </row>
    <row r="35" spans="1:27" x14ac:dyDescent="0.3">
      <c r="A35" s="6" t="s">
        <v>679</v>
      </c>
      <c r="B35" s="6" t="s">
        <v>814</v>
      </c>
      <c r="C35" s="6" t="s">
        <v>815</v>
      </c>
      <c r="D35" s="7" t="s">
        <v>588</v>
      </c>
      <c r="E35" s="7" t="s">
        <v>601</v>
      </c>
      <c r="F35" s="10">
        <v>1</v>
      </c>
      <c r="G35" s="6">
        <v>11</v>
      </c>
      <c r="H35" s="6">
        <v>1</v>
      </c>
      <c r="I35" s="6">
        <v>0</v>
      </c>
      <c r="J35" s="6">
        <v>0</v>
      </c>
      <c r="K35" s="6">
        <v>0</v>
      </c>
      <c r="L35" s="6">
        <v>0</v>
      </c>
      <c r="M35" s="6">
        <v>0</v>
      </c>
      <c r="N35" s="6">
        <v>0</v>
      </c>
      <c r="O35" s="6">
        <v>0</v>
      </c>
      <c r="P35" s="6">
        <v>0</v>
      </c>
      <c r="R35" s="10" t="s">
        <v>600</v>
      </c>
      <c r="S35" s="10" t="s">
        <v>595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</row>
    <row r="36" spans="1:27" x14ac:dyDescent="0.3">
      <c r="A36" s="6" t="s">
        <v>680</v>
      </c>
      <c r="B36" s="6" t="s">
        <v>816</v>
      </c>
      <c r="C36" s="6" t="s">
        <v>817</v>
      </c>
      <c r="D36" s="7" t="s">
        <v>589</v>
      </c>
      <c r="E36" s="7" t="s">
        <v>602</v>
      </c>
      <c r="F36" s="10">
        <v>1</v>
      </c>
      <c r="G36" s="6">
        <v>0</v>
      </c>
      <c r="H36" s="6">
        <v>0</v>
      </c>
      <c r="I36" s="6">
        <v>0</v>
      </c>
      <c r="J36" s="6">
        <v>0</v>
      </c>
      <c r="K36" s="6">
        <v>0</v>
      </c>
      <c r="L36" s="6">
        <v>0</v>
      </c>
      <c r="M36" s="6">
        <v>0</v>
      </c>
      <c r="N36" s="6">
        <v>0</v>
      </c>
      <c r="O36" s="6">
        <v>0</v>
      </c>
      <c r="P36" s="6">
        <v>0</v>
      </c>
      <c r="R36" s="10" t="s">
        <v>595</v>
      </c>
      <c r="S36" s="10">
        <v>0</v>
      </c>
      <c r="T36" s="10">
        <v>0</v>
      </c>
      <c r="U36" s="10">
        <v>0</v>
      </c>
      <c r="V36" s="10">
        <v>0</v>
      </c>
      <c r="W36" s="10">
        <v>0</v>
      </c>
      <c r="X36" s="10">
        <v>0</v>
      </c>
      <c r="Y36" s="10">
        <v>0</v>
      </c>
      <c r="Z36" s="10">
        <v>0</v>
      </c>
      <c r="AA36" s="10">
        <v>0</v>
      </c>
    </row>
    <row r="37" spans="1:27" x14ac:dyDescent="0.3">
      <c r="A37" s="6" t="s">
        <v>832</v>
      </c>
      <c r="B37" s="6" t="s">
        <v>836</v>
      </c>
      <c r="C37" s="6" t="s">
        <v>837</v>
      </c>
      <c r="D37" s="7" t="s">
        <v>827</v>
      </c>
      <c r="E37" s="7" t="s">
        <v>831</v>
      </c>
      <c r="F37" s="6">
        <v>2</v>
      </c>
      <c r="G37" s="6">
        <v>0</v>
      </c>
      <c r="H37" s="6">
        <v>0</v>
      </c>
      <c r="I37" s="6">
        <v>0</v>
      </c>
      <c r="J37" s="6">
        <v>0</v>
      </c>
      <c r="K37" s="6">
        <v>0</v>
      </c>
      <c r="L37" s="6">
        <v>0</v>
      </c>
      <c r="M37" s="6">
        <v>0</v>
      </c>
      <c r="N37" s="6">
        <v>0</v>
      </c>
      <c r="O37" s="6">
        <v>0</v>
      </c>
      <c r="P37" s="6">
        <v>0</v>
      </c>
    </row>
    <row r="38" spans="1:27" x14ac:dyDescent="0.3">
      <c r="A38" s="6" t="s">
        <v>833</v>
      </c>
      <c r="B38" s="6" t="s">
        <v>838</v>
      </c>
      <c r="C38" s="6" t="s">
        <v>839</v>
      </c>
      <c r="D38" s="7" t="s">
        <v>828</v>
      </c>
      <c r="E38" s="7" t="s">
        <v>844</v>
      </c>
      <c r="F38" s="6">
        <v>2</v>
      </c>
      <c r="G38" s="6">
        <v>0</v>
      </c>
      <c r="H38" s="6">
        <v>0</v>
      </c>
      <c r="I38" s="6">
        <v>0</v>
      </c>
      <c r="J38" s="6">
        <v>0</v>
      </c>
      <c r="K38" s="6">
        <v>0</v>
      </c>
      <c r="L38" s="6">
        <v>0</v>
      </c>
      <c r="M38" s="6">
        <v>0</v>
      </c>
      <c r="N38" s="6">
        <v>0</v>
      </c>
      <c r="O38" s="6">
        <v>0</v>
      </c>
      <c r="P38" s="6">
        <v>0</v>
      </c>
    </row>
    <row r="39" spans="1:27" x14ac:dyDescent="0.3">
      <c r="A39" s="6" t="s">
        <v>834</v>
      </c>
      <c r="B39" s="6" t="s">
        <v>840</v>
      </c>
      <c r="C39" s="6" t="s">
        <v>841</v>
      </c>
      <c r="D39" s="7" t="s">
        <v>829</v>
      </c>
      <c r="E39" s="7" t="s">
        <v>845</v>
      </c>
      <c r="F39" s="6">
        <v>2</v>
      </c>
      <c r="G39" s="6">
        <v>0</v>
      </c>
      <c r="H39" s="6">
        <v>0</v>
      </c>
      <c r="I39" s="6">
        <v>0</v>
      </c>
      <c r="J39" s="6">
        <v>0</v>
      </c>
      <c r="K39" s="6">
        <v>0</v>
      </c>
      <c r="L39" s="6">
        <v>0</v>
      </c>
      <c r="M39" s="6">
        <v>0</v>
      </c>
      <c r="N39" s="6">
        <v>0</v>
      </c>
      <c r="O39" s="6">
        <v>0</v>
      </c>
      <c r="P39" s="6">
        <v>0</v>
      </c>
    </row>
    <row r="40" spans="1:27" x14ac:dyDescent="0.3">
      <c r="A40" s="6" t="s">
        <v>835</v>
      </c>
      <c r="B40" s="6" t="s">
        <v>842</v>
      </c>
      <c r="C40" s="6" t="s">
        <v>843</v>
      </c>
      <c r="D40" s="7" t="s">
        <v>830</v>
      </c>
      <c r="E40" s="7" t="s">
        <v>846</v>
      </c>
      <c r="F40" s="6">
        <v>2</v>
      </c>
      <c r="G40" s="6">
        <v>0</v>
      </c>
      <c r="H40" s="6">
        <v>0</v>
      </c>
      <c r="I40" s="6">
        <v>0</v>
      </c>
      <c r="J40" s="6">
        <v>0</v>
      </c>
      <c r="K40" s="6">
        <v>0</v>
      </c>
      <c r="L40" s="6">
        <v>0</v>
      </c>
      <c r="M40" s="6">
        <v>0</v>
      </c>
      <c r="N40" s="6">
        <v>0</v>
      </c>
      <c r="O40" s="6">
        <v>0</v>
      </c>
      <c r="P40" s="6">
        <v>0</v>
      </c>
    </row>
    <row r="41" spans="1:27" x14ac:dyDescent="0.3">
      <c r="A41" s="6" t="s">
        <v>861</v>
      </c>
      <c r="B41" s="6" t="s">
        <v>862</v>
      </c>
      <c r="C41" s="6" t="s">
        <v>863</v>
      </c>
      <c r="D41" s="7" t="s">
        <v>848</v>
      </c>
      <c r="E41" s="7" t="s">
        <v>1007</v>
      </c>
      <c r="F41" s="6">
        <v>1</v>
      </c>
      <c r="G41" s="6">
        <v>0.75</v>
      </c>
      <c r="H41" s="6">
        <v>0</v>
      </c>
      <c r="I41" s="6">
        <v>0</v>
      </c>
      <c r="J41" s="6">
        <v>0</v>
      </c>
      <c r="K41" s="6">
        <v>0</v>
      </c>
      <c r="L41" s="6">
        <v>0</v>
      </c>
      <c r="M41" s="6">
        <v>0</v>
      </c>
      <c r="N41" s="6">
        <v>0</v>
      </c>
      <c r="O41" s="6">
        <v>0</v>
      </c>
      <c r="P41" s="6">
        <v>0</v>
      </c>
      <c r="R41" s="10" t="s">
        <v>67</v>
      </c>
    </row>
    <row r="42" spans="1:27" x14ac:dyDescent="0.3">
      <c r="A42" s="6" t="s">
        <v>864</v>
      </c>
      <c r="B42" s="6" t="s">
        <v>865</v>
      </c>
      <c r="C42" s="6" t="s">
        <v>866</v>
      </c>
      <c r="D42" s="7" t="s">
        <v>849</v>
      </c>
      <c r="E42" s="7" t="s">
        <v>1008</v>
      </c>
      <c r="F42" s="6">
        <v>1</v>
      </c>
      <c r="G42" s="6">
        <v>0.75</v>
      </c>
      <c r="H42" s="6">
        <v>0</v>
      </c>
      <c r="I42" s="6">
        <v>0</v>
      </c>
      <c r="J42" s="6">
        <v>0</v>
      </c>
      <c r="K42" s="6">
        <v>0</v>
      </c>
      <c r="L42" s="6">
        <v>0</v>
      </c>
      <c r="M42" s="6">
        <v>0</v>
      </c>
      <c r="N42" s="6">
        <v>0</v>
      </c>
      <c r="O42" s="6">
        <v>0</v>
      </c>
      <c r="P42" s="6">
        <v>0</v>
      </c>
      <c r="R42" s="10" t="s">
        <v>67</v>
      </c>
    </row>
    <row r="43" spans="1:27" x14ac:dyDescent="0.3">
      <c r="A43" s="6" t="s">
        <v>867</v>
      </c>
      <c r="B43" s="6" t="s">
        <v>868</v>
      </c>
      <c r="C43" s="6" t="s">
        <v>869</v>
      </c>
      <c r="D43" s="7" t="s">
        <v>850</v>
      </c>
      <c r="E43" s="7" t="s">
        <v>1009</v>
      </c>
      <c r="F43" s="6">
        <v>1</v>
      </c>
      <c r="G43" s="6">
        <v>0.75</v>
      </c>
      <c r="H43" s="6">
        <v>0</v>
      </c>
      <c r="I43" s="6">
        <v>0</v>
      </c>
      <c r="J43" s="6">
        <v>0</v>
      </c>
      <c r="K43" s="6">
        <v>0</v>
      </c>
      <c r="L43" s="6">
        <v>0</v>
      </c>
      <c r="M43" s="6">
        <v>0</v>
      </c>
      <c r="N43" s="6">
        <v>0</v>
      </c>
      <c r="O43" s="6">
        <v>0</v>
      </c>
      <c r="P43" s="6">
        <v>0</v>
      </c>
      <c r="R43" s="10" t="s">
        <v>67</v>
      </c>
    </row>
    <row r="44" spans="1:27" x14ac:dyDescent="0.3">
      <c r="A44" s="6" t="s">
        <v>870</v>
      </c>
      <c r="B44" s="6" t="s">
        <v>871</v>
      </c>
      <c r="C44" s="6" t="s">
        <v>872</v>
      </c>
      <c r="D44" s="7" t="s">
        <v>847</v>
      </c>
      <c r="E44" s="7" t="s">
        <v>1010</v>
      </c>
      <c r="F44" s="6">
        <v>2</v>
      </c>
      <c r="G44" s="6">
        <v>1250</v>
      </c>
      <c r="H44" s="6">
        <v>0</v>
      </c>
      <c r="I44" s="6">
        <v>0</v>
      </c>
      <c r="J44" s="6">
        <v>0</v>
      </c>
      <c r="K44" s="6">
        <v>0</v>
      </c>
      <c r="L44" s="6">
        <v>0</v>
      </c>
      <c r="M44" s="6">
        <v>0</v>
      </c>
      <c r="N44" s="6">
        <v>0</v>
      </c>
      <c r="O44" s="6">
        <v>0</v>
      </c>
      <c r="P44" s="6">
        <v>0</v>
      </c>
      <c r="R44" s="10" t="s">
        <v>68</v>
      </c>
    </row>
    <row r="45" spans="1:27" x14ac:dyDescent="0.3">
      <c r="A45" s="6" t="s">
        <v>873</v>
      </c>
      <c r="B45" s="6" t="s">
        <v>874</v>
      </c>
      <c r="C45" s="6" t="s">
        <v>875</v>
      </c>
      <c r="D45" s="7" t="s">
        <v>851</v>
      </c>
      <c r="E45" s="7" t="s">
        <v>1011</v>
      </c>
      <c r="F45" s="6">
        <v>1</v>
      </c>
      <c r="G45" s="6">
        <v>500</v>
      </c>
      <c r="H45" s="6">
        <v>0</v>
      </c>
      <c r="I45" s="6">
        <v>0</v>
      </c>
      <c r="J45" s="6">
        <v>0</v>
      </c>
      <c r="K45" s="6">
        <v>0</v>
      </c>
      <c r="L45" s="6">
        <v>0</v>
      </c>
      <c r="M45" s="6">
        <v>0</v>
      </c>
      <c r="N45" s="6">
        <v>0</v>
      </c>
      <c r="O45" s="6">
        <v>0</v>
      </c>
      <c r="P45" s="6">
        <v>0</v>
      </c>
      <c r="R45" s="10" t="s">
        <v>68</v>
      </c>
    </row>
    <row r="46" spans="1:27" x14ac:dyDescent="0.3">
      <c r="A46" s="6" t="s">
        <v>876</v>
      </c>
      <c r="B46" s="6" t="s">
        <v>877</v>
      </c>
      <c r="C46" s="6" t="s">
        <v>878</v>
      </c>
      <c r="D46" s="7" t="s">
        <v>852</v>
      </c>
      <c r="E46" s="7" t="s">
        <v>1012</v>
      </c>
      <c r="F46" s="6">
        <v>1</v>
      </c>
      <c r="G46" s="6">
        <v>500</v>
      </c>
      <c r="H46" s="6">
        <v>0</v>
      </c>
      <c r="I46" s="6">
        <v>0</v>
      </c>
      <c r="J46" s="6">
        <v>0</v>
      </c>
      <c r="K46" s="6">
        <v>0</v>
      </c>
      <c r="L46" s="6">
        <v>0</v>
      </c>
      <c r="M46" s="6">
        <v>0</v>
      </c>
      <c r="N46" s="6">
        <v>0</v>
      </c>
      <c r="O46" s="6">
        <v>0</v>
      </c>
      <c r="P46" s="6">
        <v>0</v>
      </c>
      <c r="R46" s="10" t="s">
        <v>68</v>
      </c>
    </row>
    <row r="47" spans="1:27" x14ac:dyDescent="0.3">
      <c r="A47" s="6" t="s">
        <v>879</v>
      </c>
      <c r="B47" s="6" t="s">
        <v>880</v>
      </c>
      <c r="C47" s="6" t="s">
        <v>881</v>
      </c>
      <c r="D47" s="7" t="s">
        <v>853</v>
      </c>
      <c r="E47" s="7" t="s">
        <v>1013</v>
      </c>
      <c r="F47" s="6">
        <v>2</v>
      </c>
      <c r="G47" s="6">
        <v>500</v>
      </c>
      <c r="H47" s="6">
        <v>0</v>
      </c>
      <c r="I47" s="6">
        <v>0</v>
      </c>
      <c r="J47" s="6">
        <v>0</v>
      </c>
      <c r="K47" s="6">
        <v>0</v>
      </c>
      <c r="L47" s="6">
        <v>0</v>
      </c>
      <c r="M47" s="6">
        <v>0</v>
      </c>
      <c r="N47" s="6">
        <v>0</v>
      </c>
      <c r="O47" s="6">
        <v>0</v>
      </c>
      <c r="P47" s="6">
        <v>0</v>
      </c>
      <c r="R47" s="10" t="s">
        <v>68</v>
      </c>
    </row>
    <row r="48" spans="1:27" x14ac:dyDescent="0.3">
      <c r="A48" s="6" t="s">
        <v>882</v>
      </c>
      <c r="B48" s="6" t="s">
        <v>883</v>
      </c>
      <c r="C48" s="6" t="s">
        <v>884</v>
      </c>
      <c r="D48" s="7" t="s">
        <v>854</v>
      </c>
      <c r="E48" s="7" t="s">
        <v>1014</v>
      </c>
      <c r="F48" s="6">
        <v>2</v>
      </c>
      <c r="G48" s="6">
        <v>1000</v>
      </c>
      <c r="H48" s="6">
        <v>0</v>
      </c>
      <c r="I48" s="6">
        <v>0</v>
      </c>
      <c r="J48" s="6">
        <v>0</v>
      </c>
      <c r="K48" s="6">
        <v>0</v>
      </c>
      <c r="L48" s="6">
        <v>0</v>
      </c>
      <c r="M48" s="6">
        <v>0</v>
      </c>
      <c r="N48" s="6">
        <v>0</v>
      </c>
      <c r="O48" s="6">
        <v>0</v>
      </c>
      <c r="P48" s="6">
        <v>0</v>
      </c>
      <c r="R48" s="10" t="s">
        <v>68</v>
      </c>
    </row>
    <row r="49" spans="1:19" x14ac:dyDescent="0.3">
      <c r="A49" s="6" t="s">
        <v>885</v>
      </c>
      <c r="B49" s="6" t="s">
        <v>886</v>
      </c>
      <c r="C49" s="6" t="s">
        <v>887</v>
      </c>
      <c r="D49" s="7" t="s">
        <v>855</v>
      </c>
      <c r="E49" s="7" t="s">
        <v>1015</v>
      </c>
      <c r="F49" s="6">
        <v>1</v>
      </c>
      <c r="G49" s="6">
        <v>1</v>
      </c>
      <c r="H49" s="6">
        <v>0</v>
      </c>
      <c r="I49" s="6">
        <v>0</v>
      </c>
      <c r="J49" s="6">
        <v>0</v>
      </c>
      <c r="K49" s="6">
        <v>0</v>
      </c>
      <c r="L49" s="6">
        <v>0</v>
      </c>
      <c r="M49" s="6">
        <v>0</v>
      </c>
      <c r="N49" s="6">
        <v>0</v>
      </c>
      <c r="O49" s="6">
        <v>0</v>
      </c>
      <c r="P49" s="6">
        <v>0</v>
      </c>
      <c r="R49" s="10" t="s">
        <v>67</v>
      </c>
    </row>
    <row r="50" spans="1:19" x14ac:dyDescent="0.3">
      <c r="A50" s="6" t="s">
        <v>888</v>
      </c>
      <c r="B50" s="6" t="s">
        <v>889</v>
      </c>
      <c r="C50" s="6" t="s">
        <v>890</v>
      </c>
      <c r="D50" s="7" t="s">
        <v>856</v>
      </c>
      <c r="E50" s="7" t="s">
        <v>1016</v>
      </c>
      <c r="F50" s="6">
        <v>1</v>
      </c>
      <c r="G50" s="6">
        <v>5</v>
      </c>
      <c r="H50" s="6">
        <v>0</v>
      </c>
      <c r="I50" s="6">
        <v>0</v>
      </c>
      <c r="J50" s="6">
        <v>0</v>
      </c>
      <c r="K50" s="6">
        <v>0</v>
      </c>
      <c r="L50" s="6">
        <v>0</v>
      </c>
      <c r="M50" s="6">
        <v>0</v>
      </c>
      <c r="N50" s="6">
        <v>0</v>
      </c>
      <c r="O50" s="6">
        <v>0</v>
      </c>
      <c r="P50" s="6">
        <v>0</v>
      </c>
      <c r="R50" s="10" t="s">
        <v>66</v>
      </c>
    </row>
    <row r="51" spans="1:19" x14ac:dyDescent="0.3">
      <c r="A51" s="6" t="s">
        <v>891</v>
      </c>
      <c r="B51" s="6" t="s">
        <v>892</v>
      </c>
      <c r="C51" s="6" t="s">
        <v>893</v>
      </c>
      <c r="D51" s="7" t="s">
        <v>857</v>
      </c>
      <c r="E51" s="7" t="s">
        <v>1017</v>
      </c>
      <c r="F51" s="6">
        <v>2</v>
      </c>
      <c r="G51" s="6">
        <v>25</v>
      </c>
      <c r="H51" s="6">
        <v>0.25</v>
      </c>
      <c r="I51" s="6">
        <v>0</v>
      </c>
      <c r="J51" s="6">
        <v>0</v>
      </c>
      <c r="K51" s="6">
        <v>0</v>
      </c>
      <c r="L51" s="6">
        <v>0</v>
      </c>
      <c r="M51" s="6">
        <v>0</v>
      </c>
      <c r="N51" s="6">
        <v>0</v>
      </c>
      <c r="O51" s="6">
        <v>0</v>
      </c>
      <c r="P51" s="6">
        <v>0</v>
      </c>
      <c r="R51" s="10" t="s">
        <v>66</v>
      </c>
      <c r="S51" s="10" t="s">
        <v>67</v>
      </c>
    </row>
    <row r="52" spans="1:19" x14ac:dyDescent="0.3">
      <c r="A52" s="6" t="s">
        <v>894</v>
      </c>
      <c r="B52" s="6" t="s">
        <v>895</v>
      </c>
      <c r="C52" s="6" t="s">
        <v>896</v>
      </c>
      <c r="D52" s="7" t="s">
        <v>858</v>
      </c>
      <c r="E52" s="7" t="s">
        <v>1017</v>
      </c>
      <c r="F52" s="6">
        <v>2</v>
      </c>
      <c r="G52" s="6">
        <v>25</v>
      </c>
      <c r="H52" s="6">
        <v>0.25</v>
      </c>
      <c r="I52" s="6">
        <v>0</v>
      </c>
      <c r="J52" s="6">
        <v>0</v>
      </c>
      <c r="K52" s="6">
        <v>0</v>
      </c>
      <c r="L52" s="6">
        <v>0</v>
      </c>
      <c r="M52" s="6">
        <v>0</v>
      </c>
      <c r="N52" s="6">
        <v>0</v>
      </c>
      <c r="O52" s="6">
        <v>0</v>
      </c>
      <c r="P52" s="6">
        <v>0</v>
      </c>
      <c r="R52" s="10" t="s">
        <v>66</v>
      </c>
      <c r="S52" s="10" t="s">
        <v>67</v>
      </c>
    </row>
    <row r="53" spans="1:19" x14ac:dyDescent="0.3">
      <c r="A53" s="6" t="s">
        <v>897</v>
      </c>
      <c r="B53" s="6" t="s">
        <v>898</v>
      </c>
      <c r="C53" s="6" t="s">
        <v>899</v>
      </c>
      <c r="D53" s="7" t="s">
        <v>859</v>
      </c>
      <c r="E53" s="7" t="s">
        <v>1018</v>
      </c>
      <c r="F53" s="6">
        <v>2</v>
      </c>
      <c r="G53" s="6">
        <v>50</v>
      </c>
      <c r="H53" s="6">
        <v>0</v>
      </c>
      <c r="I53" s="6">
        <v>0</v>
      </c>
      <c r="J53" s="6">
        <v>0</v>
      </c>
      <c r="K53" s="6">
        <v>0</v>
      </c>
      <c r="L53" s="6">
        <v>0</v>
      </c>
      <c r="M53" s="6">
        <v>0</v>
      </c>
      <c r="N53" s="6">
        <v>0</v>
      </c>
      <c r="O53" s="6">
        <v>0</v>
      </c>
      <c r="P53" s="6">
        <v>0</v>
      </c>
      <c r="R53" s="10" t="s">
        <v>66</v>
      </c>
    </row>
    <row r="54" spans="1:19" x14ac:dyDescent="0.3">
      <c r="A54" s="6" t="s">
        <v>900</v>
      </c>
      <c r="B54" s="6" t="s">
        <v>901</v>
      </c>
      <c r="C54" s="6" t="s">
        <v>902</v>
      </c>
      <c r="D54" s="7" t="s">
        <v>860</v>
      </c>
      <c r="E54" s="7" t="s">
        <v>1020</v>
      </c>
      <c r="F54" s="6">
        <v>2</v>
      </c>
      <c r="G54" s="6">
        <v>0.5</v>
      </c>
      <c r="H54" s="6">
        <v>0</v>
      </c>
      <c r="I54" s="6">
        <v>0</v>
      </c>
      <c r="J54" s="6">
        <v>0</v>
      </c>
      <c r="K54" s="6">
        <v>0</v>
      </c>
      <c r="L54" s="6">
        <v>0</v>
      </c>
      <c r="M54" s="6">
        <v>0</v>
      </c>
      <c r="N54" s="6">
        <v>0</v>
      </c>
      <c r="O54" s="6">
        <v>0</v>
      </c>
      <c r="P54" s="6">
        <v>0</v>
      </c>
      <c r="R54" s="10" t="s">
        <v>67</v>
      </c>
    </row>
    <row r="55" spans="1:19" x14ac:dyDescent="0.3">
      <c r="A55" s="6" t="s">
        <v>925</v>
      </c>
      <c r="B55" s="6" t="s">
        <v>926</v>
      </c>
      <c r="C55" s="6" t="s">
        <v>927</v>
      </c>
      <c r="D55" s="7" t="s">
        <v>903</v>
      </c>
      <c r="E55" s="7" t="s">
        <v>1019</v>
      </c>
      <c r="F55" s="6">
        <v>2</v>
      </c>
      <c r="G55" s="6">
        <v>0</v>
      </c>
      <c r="H55" s="6">
        <v>0</v>
      </c>
      <c r="I55" s="6">
        <v>0</v>
      </c>
      <c r="J55" s="6">
        <v>0</v>
      </c>
      <c r="K55" s="6">
        <v>0</v>
      </c>
      <c r="L55" s="6">
        <v>0</v>
      </c>
      <c r="M55" s="6">
        <v>0</v>
      </c>
      <c r="N55" s="6">
        <v>0</v>
      </c>
      <c r="O55" s="6">
        <v>0</v>
      </c>
      <c r="P55" s="6">
        <v>0</v>
      </c>
      <c r="R55" s="10" t="s">
        <v>68</v>
      </c>
    </row>
    <row r="56" spans="1:19" x14ac:dyDescent="0.3">
      <c r="A56" s="6" t="s">
        <v>928</v>
      </c>
      <c r="B56" s="6" t="s">
        <v>929</v>
      </c>
      <c r="C56" s="6" t="s">
        <v>930</v>
      </c>
      <c r="D56" s="7" t="s">
        <v>904</v>
      </c>
      <c r="E56" s="7" t="s">
        <v>1021</v>
      </c>
      <c r="F56" s="6">
        <v>2</v>
      </c>
      <c r="G56" s="6">
        <v>1250</v>
      </c>
      <c r="H56" s="6">
        <v>0</v>
      </c>
      <c r="I56" s="6">
        <v>0</v>
      </c>
      <c r="J56" s="6">
        <v>0</v>
      </c>
      <c r="K56" s="6">
        <v>0</v>
      </c>
      <c r="L56" s="6">
        <v>0</v>
      </c>
      <c r="M56" s="6">
        <v>0</v>
      </c>
      <c r="N56" s="6">
        <v>0</v>
      </c>
      <c r="O56" s="6">
        <v>0</v>
      </c>
      <c r="P56" s="6">
        <v>0</v>
      </c>
      <c r="R56" s="10" t="s">
        <v>68</v>
      </c>
    </row>
    <row r="57" spans="1:19" x14ac:dyDescent="0.3">
      <c r="A57" s="6" t="s">
        <v>931</v>
      </c>
      <c r="B57" s="6" t="s">
        <v>932</v>
      </c>
      <c r="C57" s="6" t="s">
        <v>933</v>
      </c>
      <c r="D57" s="7" t="s">
        <v>905</v>
      </c>
      <c r="E57" s="7" t="s">
        <v>1029</v>
      </c>
      <c r="F57" s="6">
        <v>1</v>
      </c>
      <c r="G57" s="6">
        <v>500</v>
      </c>
      <c r="H57" s="6">
        <v>0</v>
      </c>
      <c r="I57" s="6">
        <v>0</v>
      </c>
      <c r="J57" s="6">
        <v>0</v>
      </c>
      <c r="K57" s="6">
        <v>0</v>
      </c>
      <c r="L57" s="6">
        <v>0</v>
      </c>
      <c r="M57" s="6">
        <v>0</v>
      </c>
      <c r="N57" s="6">
        <v>0</v>
      </c>
      <c r="O57" s="6">
        <v>0</v>
      </c>
      <c r="P57" s="6">
        <v>0</v>
      </c>
      <c r="R57" s="10" t="s">
        <v>68</v>
      </c>
    </row>
    <row r="58" spans="1:19" x14ac:dyDescent="0.3">
      <c r="A58" s="6" t="s">
        <v>934</v>
      </c>
      <c r="B58" s="6" t="s">
        <v>935</v>
      </c>
      <c r="C58" s="6" t="s">
        <v>936</v>
      </c>
      <c r="D58" s="7" t="s">
        <v>906</v>
      </c>
      <c r="E58" s="7" t="s">
        <v>1022</v>
      </c>
      <c r="F58" s="6">
        <v>1</v>
      </c>
      <c r="G58" s="6">
        <v>0.1</v>
      </c>
      <c r="H58" s="6">
        <v>0</v>
      </c>
      <c r="I58" s="6">
        <v>0</v>
      </c>
      <c r="J58" s="6">
        <v>0</v>
      </c>
      <c r="K58" s="6">
        <v>0</v>
      </c>
      <c r="L58" s="6">
        <v>0</v>
      </c>
      <c r="M58" s="6">
        <v>0</v>
      </c>
      <c r="N58" s="6">
        <v>0</v>
      </c>
      <c r="O58" s="6">
        <v>0</v>
      </c>
      <c r="P58" s="6">
        <v>0</v>
      </c>
      <c r="R58" s="10" t="s">
        <v>67</v>
      </c>
    </row>
    <row r="59" spans="1:19" x14ac:dyDescent="0.3">
      <c r="A59" s="6" t="s">
        <v>937</v>
      </c>
      <c r="B59" s="6" t="s">
        <v>938</v>
      </c>
      <c r="C59" s="6" t="s">
        <v>939</v>
      </c>
      <c r="D59" s="7" t="s">
        <v>907</v>
      </c>
      <c r="E59" s="7" t="s">
        <v>1023</v>
      </c>
      <c r="F59" s="6">
        <v>1</v>
      </c>
      <c r="G59" s="6">
        <v>10</v>
      </c>
      <c r="H59" s="6">
        <v>0</v>
      </c>
      <c r="I59" s="6">
        <v>0</v>
      </c>
      <c r="J59" s="6">
        <v>0</v>
      </c>
      <c r="K59" s="6">
        <v>0</v>
      </c>
      <c r="L59" s="6">
        <v>0</v>
      </c>
      <c r="M59" s="6">
        <v>0</v>
      </c>
      <c r="N59" s="6">
        <v>0</v>
      </c>
      <c r="O59" s="6">
        <v>0</v>
      </c>
      <c r="P59" s="6">
        <v>0</v>
      </c>
      <c r="R59" s="10" t="s">
        <v>66</v>
      </c>
    </row>
    <row r="60" spans="1:19" x14ac:dyDescent="0.3">
      <c r="A60" s="6" t="s">
        <v>940</v>
      </c>
      <c r="B60" s="6" t="s">
        <v>941</v>
      </c>
      <c r="C60" s="6" t="s">
        <v>942</v>
      </c>
      <c r="D60" s="7" t="s">
        <v>911</v>
      </c>
      <c r="E60" s="7" t="s">
        <v>1024</v>
      </c>
      <c r="F60" s="6">
        <v>1</v>
      </c>
      <c r="G60" s="6">
        <v>0.05</v>
      </c>
      <c r="H60" s="6">
        <v>2</v>
      </c>
      <c r="I60" s="6">
        <v>0</v>
      </c>
      <c r="J60" s="6">
        <v>0</v>
      </c>
      <c r="K60" s="6">
        <v>0</v>
      </c>
      <c r="L60" s="6">
        <v>0</v>
      </c>
      <c r="M60" s="6">
        <v>0</v>
      </c>
      <c r="N60" s="6">
        <v>0</v>
      </c>
      <c r="O60" s="6">
        <v>0</v>
      </c>
      <c r="P60" s="6">
        <v>0</v>
      </c>
      <c r="R60" s="10" t="s">
        <v>67</v>
      </c>
      <c r="S60" s="10" t="s">
        <v>67</v>
      </c>
    </row>
    <row r="61" spans="1:19" x14ac:dyDescent="0.3">
      <c r="A61" s="6" t="s">
        <v>943</v>
      </c>
      <c r="B61" s="6" t="s">
        <v>944</v>
      </c>
      <c r="C61" s="6" t="s">
        <v>945</v>
      </c>
      <c r="D61" s="7" t="s">
        <v>908</v>
      </c>
      <c r="E61" s="7" t="s">
        <v>1025</v>
      </c>
      <c r="F61" s="6">
        <v>1</v>
      </c>
      <c r="G61" s="6">
        <v>0.5</v>
      </c>
      <c r="H61" s="6">
        <v>0</v>
      </c>
      <c r="I61" s="6">
        <v>0</v>
      </c>
      <c r="J61" s="6">
        <v>0</v>
      </c>
      <c r="K61" s="6">
        <v>0</v>
      </c>
      <c r="L61" s="6">
        <v>0</v>
      </c>
      <c r="M61" s="6">
        <v>0</v>
      </c>
      <c r="N61" s="6">
        <v>0</v>
      </c>
      <c r="O61" s="6">
        <v>0</v>
      </c>
      <c r="P61" s="6">
        <v>0</v>
      </c>
      <c r="R61" s="10" t="s">
        <v>67</v>
      </c>
    </row>
    <row r="62" spans="1:19" x14ac:dyDescent="0.3">
      <c r="A62" s="6" t="s">
        <v>946</v>
      </c>
      <c r="B62" s="6" t="s">
        <v>947</v>
      </c>
      <c r="C62" s="6" t="s">
        <v>948</v>
      </c>
      <c r="D62" s="7" t="s">
        <v>909</v>
      </c>
      <c r="E62" s="7" t="s">
        <v>912</v>
      </c>
      <c r="F62" s="6">
        <v>2</v>
      </c>
      <c r="G62" s="6">
        <v>0</v>
      </c>
      <c r="H62" s="6">
        <v>0</v>
      </c>
      <c r="I62" s="6">
        <v>0</v>
      </c>
      <c r="J62" s="6">
        <v>0</v>
      </c>
      <c r="K62" s="6">
        <v>0</v>
      </c>
      <c r="L62" s="6">
        <v>0</v>
      </c>
      <c r="M62" s="6">
        <v>0</v>
      </c>
      <c r="N62" s="6">
        <v>0</v>
      </c>
      <c r="O62" s="6">
        <v>0</v>
      </c>
      <c r="P62" s="6">
        <v>0</v>
      </c>
    </row>
    <row r="63" spans="1:19" x14ac:dyDescent="0.3">
      <c r="A63" s="6" t="s">
        <v>949</v>
      </c>
      <c r="B63" s="6" t="s">
        <v>950</v>
      </c>
      <c r="C63" s="6" t="s">
        <v>951</v>
      </c>
      <c r="D63" s="7" t="s">
        <v>910</v>
      </c>
      <c r="E63" s="7" t="s">
        <v>1026</v>
      </c>
      <c r="F63" s="6">
        <v>2</v>
      </c>
      <c r="G63" s="6">
        <v>50</v>
      </c>
      <c r="H63" s="6">
        <v>0.5</v>
      </c>
      <c r="I63" s="6">
        <v>0</v>
      </c>
      <c r="J63" s="6">
        <v>0</v>
      </c>
      <c r="K63" s="6">
        <v>0</v>
      </c>
      <c r="L63" s="6">
        <v>0</v>
      </c>
      <c r="M63" s="6">
        <v>0</v>
      </c>
      <c r="N63" s="6">
        <v>0</v>
      </c>
      <c r="O63" s="6">
        <v>0</v>
      </c>
      <c r="P63" s="6">
        <v>0</v>
      </c>
      <c r="R63" s="10" t="s">
        <v>66</v>
      </c>
      <c r="S63" s="10" t="s">
        <v>67</v>
      </c>
    </row>
    <row r="64" spans="1:19" x14ac:dyDescent="0.3">
      <c r="A64" s="6" t="s">
        <v>952</v>
      </c>
      <c r="B64" s="6" t="s">
        <v>953</v>
      </c>
      <c r="C64" s="6" t="s">
        <v>954</v>
      </c>
      <c r="D64" s="7" t="s">
        <v>913</v>
      </c>
      <c r="E64" s="7" t="s">
        <v>1027</v>
      </c>
      <c r="F64" s="6">
        <v>1</v>
      </c>
      <c r="G64" s="6">
        <v>1250</v>
      </c>
      <c r="H64" s="6">
        <v>1</v>
      </c>
      <c r="I64" s="6">
        <v>0</v>
      </c>
      <c r="J64" s="6">
        <v>0</v>
      </c>
      <c r="K64" s="6">
        <v>0</v>
      </c>
      <c r="L64" s="6">
        <v>0</v>
      </c>
      <c r="M64" s="6">
        <v>0</v>
      </c>
      <c r="N64" s="6">
        <v>0</v>
      </c>
      <c r="O64" s="6">
        <v>0</v>
      </c>
      <c r="P64" s="6">
        <v>0</v>
      </c>
      <c r="R64" s="10" t="s">
        <v>68</v>
      </c>
      <c r="S64" s="10" t="s">
        <v>595</v>
      </c>
    </row>
    <row r="65" spans="1:19" x14ac:dyDescent="0.3">
      <c r="A65" s="6" t="s">
        <v>955</v>
      </c>
      <c r="B65" s="6" t="s">
        <v>956</v>
      </c>
      <c r="C65" s="6" t="s">
        <v>957</v>
      </c>
      <c r="D65" s="7" t="s">
        <v>914</v>
      </c>
      <c r="E65" s="7" t="s">
        <v>1028</v>
      </c>
      <c r="F65" s="6">
        <v>2</v>
      </c>
      <c r="G65" s="6">
        <v>8</v>
      </c>
      <c r="H65" s="6">
        <v>0</v>
      </c>
      <c r="I65" s="6">
        <v>0</v>
      </c>
      <c r="J65" s="6">
        <v>0</v>
      </c>
      <c r="K65" s="6">
        <v>0</v>
      </c>
      <c r="L65" s="6">
        <v>0</v>
      </c>
      <c r="M65" s="6">
        <v>0</v>
      </c>
      <c r="N65" s="6">
        <v>0</v>
      </c>
      <c r="O65" s="6">
        <v>0</v>
      </c>
      <c r="P65" s="6">
        <v>0</v>
      </c>
      <c r="R65" s="10" t="s">
        <v>600</v>
      </c>
    </row>
    <row r="66" spans="1:19" x14ac:dyDescent="0.3">
      <c r="A66" s="6" t="s">
        <v>958</v>
      </c>
      <c r="B66" s="6" t="s">
        <v>959</v>
      </c>
      <c r="C66" s="6" t="s">
        <v>960</v>
      </c>
      <c r="D66" s="7" t="s">
        <v>915</v>
      </c>
      <c r="E66" s="7" t="s">
        <v>1030</v>
      </c>
      <c r="F66" s="6">
        <v>2</v>
      </c>
      <c r="G66" s="6">
        <v>1000</v>
      </c>
      <c r="H66" s="6">
        <v>0</v>
      </c>
      <c r="I66" s="6">
        <v>0</v>
      </c>
      <c r="J66" s="6">
        <v>0</v>
      </c>
      <c r="K66" s="6">
        <v>0</v>
      </c>
      <c r="L66" s="6">
        <v>0</v>
      </c>
      <c r="M66" s="6">
        <v>0</v>
      </c>
      <c r="N66" s="6">
        <v>0</v>
      </c>
      <c r="O66" s="6">
        <v>0</v>
      </c>
      <c r="P66" s="6">
        <v>0</v>
      </c>
      <c r="R66" s="10" t="s">
        <v>68</v>
      </c>
    </row>
    <row r="67" spans="1:19" x14ac:dyDescent="0.3">
      <c r="A67" s="6" t="s">
        <v>961</v>
      </c>
      <c r="B67" s="6" t="s">
        <v>962</v>
      </c>
      <c r="C67" s="6" t="s">
        <v>963</v>
      </c>
      <c r="D67" s="7" t="s">
        <v>916</v>
      </c>
      <c r="E67" s="7" t="s">
        <v>924</v>
      </c>
      <c r="F67" s="6">
        <v>2</v>
      </c>
      <c r="G67" s="6">
        <v>0</v>
      </c>
      <c r="H67" s="6">
        <v>0</v>
      </c>
      <c r="I67" s="6">
        <v>0</v>
      </c>
      <c r="J67" s="6">
        <v>0</v>
      </c>
      <c r="K67" s="6">
        <v>0</v>
      </c>
      <c r="L67" s="6">
        <v>0</v>
      </c>
      <c r="M67" s="6">
        <v>0</v>
      </c>
      <c r="N67" s="6">
        <v>0</v>
      </c>
      <c r="O67" s="6">
        <v>0</v>
      </c>
      <c r="P67" s="6">
        <v>0</v>
      </c>
    </row>
    <row r="68" spans="1:19" x14ac:dyDescent="0.3">
      <c r="A68" s="6" t="s">
        <v>964</v>
      </c>
      <c r="B68" s="6" t="s">
        <v>965</v>
      </c>
      <c r="C68" s="6" t="s">
        <v>966</v>
      </c>
      <c r="D68" s="7" t="s">
        <v>917</v>
      </c>
      <c r="E68" s="7" t="s">
        <v>1031</v>
      </c>
      <c r="F68" s="6">
        <v>1</v>
      </c>
      <c r="G68" s="6">
        <v>100</v>
      </c>
      <c r="H68" s="6">
        <v>0</v>
      </c>
      <c r="I68" s="6">
        <v>0</v>
      </c>
      <c r="J68" s="6">
        <v>0</v>
      </c>
      <c r="K68" s="6">
        <v>0</v>
      </c>
      <c r="L68" s="6">
        <v>0</v>
      </c>
      <c r="M68" s="6">
        <v>0</v>
      </c>
      <c r="N68" s="6">
        <v>0</v>
      </c>
      <c r="O68" s="6">
        <v>0</v>
      </c>
      <c r="P68" s="6">
        <v>0</v>
      </c>
      <c r="R68" s="10" t="s">
        <v>66</v>
      </c>
    </row>
    <row r="69" spans="1:19" x14ac:dyDescent="0.3">
      <c r="A69" s="6" t="s">
        <v>967</v>
      </c>
      <c r="B69" s="6" t="s">
        <v>968</v>
      </c>
      <c r="C69" s="6" t="s">
        <v>969</v>
      </c>
      <c r="D69" s="7" t="s">
        <v>918</v>
      </c>
      <c r="E69" s="7" t="s">
        <v>1032</v>
      </c>
      <c r="F69" s="6">
        <v>1</v>
      </c>
      <c r="G69" s="6">
        <v>0.2</v>
      </c>
      <c r="H69" s="6">
        <v>0</v>
      </c>
      <c r="I69" s="6">
        <v>0</v>
      </c>
      <c r="J69" s="6">
        <v>0</v>
      </c>
      <c r="K69" s="6">
        <v>0</v>
      </c>
      <c r="L69" s="6">
        <v>0</v>
      </c>
      <c r="M69" s="6">
        <v>0</v>
      </c>
      <c r="N69" s="6">
        <v>0</v>
      </c>
      <c r="O69" s="6">
        <v>0</v>
      </c>
      <c r="P69" s="6">
        <v>0</v>
      </c>
      <c r="R69" s="10" t="s">
        <v>67</v>
      </c>
    </row>
    <row r="70" spans="1:19" x14ac:dyDescent="0.3">
      <c r="A70" s="6" t="s">
        <v>970</v>
      </c>
      <c r="B70" s="6" t="s">
        <v>971</v>
      </c>
      <c r="C70" s="6" t="s">
        <v>972</v>
      </c>
      <c r="D70" s="7" t="s">
        <v>919</v>
      </c>
      <c r="E70" s="7" t="s">
        <v>1033</v>
      </c>
      <c r="F70" s="6">
        <v>1</v>
      </c>
      <c r="G70" s="6">
        <v>0.1</v>
      </c>
      <c r="H70" s="6">
        <v>0</v>
      </c>
      <c r="I70" s="6">
        <v>0</v>
      </c>
      <c r="J70" s="6">
        <v>0</v>
      </c>
      <c r="K70" s="6">
        <v>0</v>
      </c>
      <c r="L70" s="6">
        <v>0</v>
      </c>
      <c r="M70" s="6">
        <v>0</v>
      </c>
      <c r="N70" s="6">
        <v>0</v>
      </c>
      <c r="O70" s="6">
        <v>0</v>
      </c>
      <c r="P70" s="6">
        <v>0</v>
      </c>
      <c r="R70" s="10" t="s">
        <v>67</v>
      </c>
    </row>
    <row r="71" spans="1:19" x14ac:dyDescent="0.3">
      <c r="A71" s="6" t="s">
        <v>973</v>
      </c>
      <c r="B71" s="6" t="s">
        <v>974</v>
      </c>
      <c r="C71" s="6" t="s">
        <v>975</v>
      </c>
      <c r="D71" s="7" t="s">
        <v>920</v>
      </c>
      <c r="E71" s="7" t="s">
        <v>1034</v>
      </c>
      <c r="F71" s="6">
        <v>2</v>
      </c>
      <c r="G71" s="6">
        <v>2</v>
      </c>
      <c r="H71" s="6">
        <v>0</v>
      </c>
      <c r="I71" s="6">
        <v>0</v>
      </c>
      <c r="J71" s="6">
        <v>0</v>
      </c>
      <c r="K71" s="6">
        <v>0</v>
      </c>
      <c r="L71" s="6">
        <v>0</v>
      </c>
      <c r="M71" s="6">
        <v>0</v>
      </c>
      <c r="N71" s="6">
        <v>0</v>
      </c>
      <c r="O71" s="6">
        <v>0</v>
      </c>
      <c r="P71" s="6">
        <v>0</v>
      </c>
      <c r="R71" s="10" t="s">
        <v>1035</v>
      </c>
    </row>
    <row r="72" spans="1:19" x14ac:dyDescent="0.3">
      <c r="A72" s="6" t="s">
        <v>976</v>
      </c>
      <c r="B72" s="6" t="s">
        <v>977</v>
      </c>
      <c r="C72" s="6" t="s">
        <v>978</v>
      </c>
      <c r="D72" s="7" t="s">
        <v>921</v>
      </c>
      <c r="E72" s="7" t="s">
        <v>923</v>
      </c>
      <c r="F72" s="6">
        <v>2</v>
      </c>
      <c r="G72" s="6">
        <v>0</v>
      </c>
      <c r="H72" s="6">
        <v>0</v>
      </c>
      <c r="I72" s="6">
        <v>0</v>
      </c>
      <c r="J72" s="6">
        <v>0</v>
      </c>
      <c r="K72" s="6">
        <v>0</v>
      </c>
      <c r="L72" s="6">
        <v>0</v>
      </c>
      <c r="M72" s="6">
        <v>0</v>
      </c>
      <c r="N72" s="6">
        <v>0</v>
      </c>
      <c r="O72" s="6">
        <v>0</v>
      </c>
      <c r="P72" s="6">
        <v>0</v>
      </c>
    </row>
    <row r="73" spans="1:19" x14ac:dyDescent="0.3">
      <c r="A73" s="6" t="s">
        <v>979</v>
      </c>
      <c r="B73" s="6" t="s">
        <v>980</v>
      </c>
      <c r="C73" s="6" t="s">
        <v>981</v>
      </c>
      <c r="D73" s="7" t="s">
        <v>922</v>
      </c>
      <c r="E73" s="7" t="s">
        <v>1036</v>
      </c>
      <c r="F73" s="6">
        <v>2</v>
      </c>
      <c r="G73" s="6">
        <v>50</v>
      </c>
      <c r="H73" s="6">
        <v>0.5</v>
      </c>
      <c r="I73" s="6">
        <v>0</v>
      </c>
      <c r="J73" s="6">
        <v>0</v>
      </c>
      <c r="K73" s="6">
        <v>0</v>
      </c>
      <c r="L73" s="6">
        <v>0</v>
      </c>
      <c r="M73" s="6">
        <v>0</v>
      </c>
      <c r="N73" s="6">
        <v>0</v>
      </c>
      <c r="O73" s="6">
        <v>0</v>
      </c>
      <c r="P73" s="6">
        <v>0</v>
      </c>
      <c r="R73" s="10" t="s">
        <v>66</v>
      </c>
      <c r="S73" s="10" t="s">
        <v>67</v>
      </c>
    </row>
    <row r="74" spans="1:19" x14ac:dyDescent="0.3">
      <c r="A74" s="6" t="s">
        <v>988</v>
      </c>
      <c r="B74" s="6" t="s">
        <v>989</v>
      </c>
      <c r="C74" s="6" t="s">
        <v>990</v>
      </c>
      <c r="D74" s="7" t="s">
        <v>982</v>
      </c>
      <c r="E74" s="7" t="s">
        <v>1037</v>
      </c>
      <c r="F74" s="6">
        <v>2</v>
      </c>
      <c r="G74" s="6">
        <v>1</v>
      </c>
      <c r="H74" s="6">
        <v>2</v>
      </c>
      <c r="I74" s="6">
        <v>0</v>
      </c>
      <c r="J74" s="6">
        <v>0</v>
      </c>
      <c r="K74" s="6">
        <v>0</v>
      </c>
      <c r="L74" s="6">
        <v>0</v>
      </c>
      <c r="M74" s="6">
        <v>0</v>
      </c>
      <c r="N74" s="6">
        <v>0</v>
      </c>
      <c r="O74" s="6">
        <v>0</v>
      </c>
      <c r="P74" s="6">
        <v>0</v>
      </c>
      <c r="R74" s="10" t="s">
        <v>595</v>
      </c>
      <c r="S74" s="10" t="s">
        <v>595</v>
      </c>
    </row>
    <row r="75" spans="1:19" x14ac:dyDescent="0.3">
      <c r="A75" s="6" t="s">
        <v>991</v>
      </c>
      <c r="B75" s="6" t="s">
        <v>992</v>
      </c>
      <c r="C75" s="6" t="s">
        <v>993</v>
      </c>
      <c r="D75" s="7" t="s">
        <v>983</v>
      </c>
      <c r="E75" s="7" t="s">
        <v>1038</v>
      </c>
      <c r="F75" s="6">
        <v>2</v>
      </c>
      <c r="G75" s="6">
        <v>3</v>
      </c>
      <c r="H75" s="6">
        <v>0</v>
      </c>
      <c r="I75" s="6">
        <v>0</v>
      </c>
      <c r="J75" s="6">
        <v>0</v>
      </c>
      <c r="K75" s="6">
        <v>0</v>
      </c>
      <c r="L75" s="6">
        <v>0</v>
      </c>
      <c r="M75" s="6">
        <v>0</v>
      </c>
      <c r="N75" s="6">
        <v>0</v>
      </c>
      <c r="O75" s="6">
        <v>0</v>
      </c>
      <c r="P75" s="6">
        <v>0</v>
      </c>
      <c r="R75" s="10" t="s">
        <v>600</v>
      </c>
    </row>
    <row r="76" spans="1:19" x14ac:dyDescent="0.3">
      <c r="A76" s="6" t="s">
        <v>994</v>
      </c>
      <c r="B76" s="6" t="s">
        <v>995</v>
      </c>
      <c r="C76" s="6" t="s">
        <v>996</v>
      </c>
      <c r="D76" s="7" t="s">
        <v>984</v>
      </c>
      <c r="E76" s="7" t="s">
        <v>1039</v>
      </c>
      <c r="F76" s="6">
        <v>1</v>
      </c>
      <c r="G76" s="6">
        <v>3</v>
      </c>
      <c r="H76" s="6">
        <v>0</v>
      </c>
      <c r="I76" s="6">
        <v>0</v>
      </c>
      <c r="J76" s="6">
        <v>0</v>
      </c>
      <c r="K76" s="6">
        <v>0</v>
      </c>
      <c r="L76" s="6">
        <v>0</v>
      </c>
      <c r="M76" s="6">
        <v>0</v>
      </c>
      <c r="N76" s="6">
        <v>0</v>
      </c>
      <c r="O76" s="6">
        <v>0</v>
      </c>
      <c r="P76" s="6">
        <v>0</v>
      </c>
      <c r="R76" s="10" t="s">
        <v>67</v>
      </c>
    </row>
    <row r="77" spans="1:19" x14ac:dyDescent="0.3">
      <c r="A77" s="6" t="s">
        <v>997</v>
      </c>
      <c r="B77" s="6" t="s">
        <v>998</v>
      </c>
      <c r="C77" s="6" t="s">
        <v>999</v>
      </c>
      <c r="D77" s="7" t="s">
        <v>985</v>
      </c>
      <c r="E77" s="7" t="s">
        <v>1006</v>
      </c>
      <c r="F77" s="6">
        <v>1</v>
      </c>
      <c r="G77" s="6">
        <v>0</v>
      </c>
      <c r="H77" s="6">
        <v>0</v>
      </c>
      <c r="I77" s="6">
        <v>0</v>
      </c>
      <c r="J77" s="6">
        <v>0</v>
      </c>
      <c r="K77" s="6">
        <v>0</v>
      </c>
      <c r="L77" s="6">
        <v>0</v>
      </c>
      <c r="M77" s="6">
        <v>0</v>
      </c>
      <c r="N77" s="6">
        <v>0</v>
      </c>
      <c r="O77" s="6">
        <v>0</v>
      </c>
      <c r="P77" s="6">
        <v>0</v>
      </c>
    </row>
    <row r="78" spans="1:19" x14ac:dyDescent="0.3">
      <c r="A78" s="6" t="s">
        <v>1000</v>
      </c>
      <c r="B78" s="6" t="s">
        <v>1001</v>
      </c>
      <c r="C78" s="6" t="s">
        <v>1002</v>
      </c>
      <c r="D78" s="7" t="s">
        <v>986</v>
      </c>
      <c r="E78" s="7" t="s">
        <v>1040</v>
      </c>
      <c r="F78" s="6">
        <v>1</v>
      </c>
      <c r="G78" s="6">
        <v>0</v>
      </c>
      <c r="H78" s="6">
        <v>3</v>
      </c>
      <c r="I78" s="6">
        <v>0</v>
      </c>
      <c r="J78" s="6">
        <v>0</v>
      </c>
      <c r="K78" s="6">
        <v>0</v>
      </c>
      <c r="L78" s="6">
        <v>0</v>
      </c>
      <c r="M78" s="6">
        <v>0</v>
      </c>
      <c r="N78" s="6">
        <v>0</v>
      </c>
      <c r="O78" s="6">
        <v>0</v>
      </c>
      <c r="P78" s="6">
        <v>0</v>
      </c>
      <c r="R78" s="10" t="s">
        <v>67</v>
      </c>
      <c r="S78" s="10" t="s">
        <v>67</v>
      </c>
    </row>
    <row r="79" spans="1:19" x14ac:dyDescent="0.3">
      <c r="A79" s="6" t="s">
        <v>1003</v>
      </c>
      <c r="B79" s="6" t="s">
        <v>1004</v>
      </c>
      <c r="C79" s="6" t="s">
        <v>1005</v>
      </c>
      <c r="D79" s="7" t="s">
        <v>987</v>
      </c>
      <c r="E79" s="7" t="s">
        <v>1041</v>
      </c>
      <c r="F79" s="6">
        <v>3</v>
      </c>
      <c r="G79" s="6">
        <v>300</v>
      </c>
      <c r="H79" s="6">
        <v>2</v>
      </c>
      <c r="I79" s="6">
        <v>0</v>
      </c>
      <c r="J79" s="6">
        <v>0</v>
      </c>
      <c r="K79" s="6">
        <v>0</v>
      </c>
      <c r="L79" s="6">
        <v>0</v>
      </c>
      <c r="M79" s="6">
        <v>0</v>
      </c>
      <c r="N79" s="6">
        <v>0</v>
      </c>
      <c r="O79" s="6">
        <v>0</v>
      </c>
      <c r="P79" s="6">
        <v>0</v>
      </c>
      <c r="R79" s="10" t="s">
        <v>66</v>
      </c>
      <c r="S79" s="10" t="s">
        <v>67</v>
      </c>
    </row>
  </sheetData>
  <mergeCells count="1">
    <mergeCell ref="AC2:AE2"/>
  </mergeCells>
  <phoneticPr fontId="2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75D876-0CCF-4296-AA16-82699BD012CD}">
  <sheetPr codeName="Sheet6"/>
  <dimension ref="A1:W36"/>
  <sheetViews>
    <sheetView topLeftCell="A4" workbookViewId="0">
      <selection activeCell="B19" sqref="B19"/>
    </sheetView>
  </sheetViews>
  <sheetFormatPr defaultRowHeight="12" x14ac:dyDescent="0.3"/>
  <cols>
    <col min="1" max="1" width="9" style="3"/>
    <col min="2" max="2" width="80.875" style="26" bestFit="1" customWidth="1"/>
    <col min="3" max="12" width="9" style="3"/>
    <col min="13" max="13" width="2.875" style="17" customWidth="1"/>
    <col min="14" max="14" width="21.25" style="10" bestFit="1" customWidth="1"/>
    <col min="15" max="15" width="18.375" style="10" bestFit="1" customWidth="1"/>
    <col min="16" max="22" width="13.125" style="10" bestFit="1" customWidth="1"/>
    <col min="23" max="23" width="14.125" style="10" bestFit="1" customWidth="1"/>
    <col min="24" max="16384" width="9" style="1"/>
  </cols>
  <sheetData>
    <row r="1" spans="1:23" s="11" customFormat="1" x14ac:dyDescent="0.3">
      <c r="A1" s="2" t="s">
        <v>107</v>
      </c>
      <c r="B1" s="25" t="s">
        <v>21</v>
      </c>
      <c r="C1" s="2" t="s">
        <v>146</v>
      </c>
      <c r="D1" s="2" t="s">
        <v>147</v>
      </c>
      <c r="E1" s="2" t="s">
        <v>148</v>
      </c>
      <c r="F1" s="2" t="s">
        <v>149</v>
      </c>
      <c r="G1" s="2" t="s">
        <v>150</v>
      </c>
      <c r="H1" s="2" t="s">
        <v>151</v>
      </c>
      <c r="I1" s="2" t="s">
        <v>152</v>
      </c>
      <c r="J1" s="2" t="s">
        <v>153</v>
      </c>
      <c r="K1" s="2" t="s">
        <v>154</v>
      </c>
      <c r="L1" s="2" t="s">
        <v>20</v>
      </c>
      <c r="M1" s="12"/>
      <c r="N1" s="9" t="s">
        <v>11</v>
      </c>
      <c r="O1" s="9" t="s">
        <v>12</v>
      </c>
      <c r="P1" s="9" t="s">
        <v>13</v>
      </c>
      <c r="Q1" s="9" t="s">
        <v>14</v>
      </c>
      <c r="R1" s="9" t="s">
        <v>15</v>
      </c>
      <c r="S1" s="9" t="s">
        <v>16</v>
      </c>
      <c r="T1" s="9" t="s">
        <v>17</v>
      </c>
      <c r="U1" s="9" t="s">
        <v>18</v>
      </c>
      <c r="V1" s="9" t="s">
        <v>19</v>
      </c>
      <c r="W1" s="9" t="s">
        <v>20</v>
      </c>
    </row>
    <row r="2" spans="1:23" x14ac:dyDescent="0.3">
      <c r="A2" s="3">
        <v>101</v>
      </c>
      <c r="B2" s="26" t="s">
        <v>681</v>
      </c>
      <c r="C2" s="3">
        <v>5</v>
      </c>
      <c r="D2" s="3">
        <v>3300</v>
      </c>
      <c r="E2" s="10">
        <v>0</v>
      </c>
      <c r="F2" s="10">
        <v>0</v>
      </c>
      <c r="G2" s="10">
        <v>0</v>
      </c>
      <c r="H2" s="10">
        <v>0</v>
      </c>
      <c r="I2" s="10">
        <v>0</v>
      </c>
      <c r="J2" s="10">
        <v>0</v>
      </c>
      <c r="K2" s="10">
        <v>0</v>
      </c>
      <c r="L2" s="10">
        <v>0</v>
      </c>
      <c r="N2" s="10" t="s">
        <v>682</v>
      </c>
      <c r="O2" s="10" t="s">
        <v>683</v>
      </c>
      <c r="P2" s="10">
        <v>0</v>
      </c>
      <c r="Q2" s="10">
        <v>0</v>
      </c>
      <c r="R2" s="10">
        <v>0</v>
      </c>
      <c r="S2" s="10">
        <v>0</v>
      </c>
      <c r="T2" s="10">
        <v>0</v>
      </c>
      <c r="U2" s="10">
        <v>0</v>
      </c>
      <c r="V2" s="10">
        <v>0</v>
      </c>
      <c r="W2" s="10">
        <v>0</v>
      </c>
    </row>
    <row r="3" spans="1:23" x14ac:dyDescent="0.3">
      <c r="A3" s="3">
        <v>102</v>
      </c>
      <c r="B3" s="26" t="s">
        <v>681</v>
      </c>
      <c r="C3" s="3">
        <v>7</v>
      </c>
      <c r="D3" s="3">
        <v>5000</v>
      </c>
      <c r="E3" s="10">
        <v>0</v>
      </c>
      <c r="F3" s="10">
        <v>0</v>
      </c>
      <c r="G3" s="10">
        <v>0</v>
      </c>
      <c r="H3" s="10">
        <v>0</v>
      </c>
      <c r="I3" s="10">
        <v>0</v>
      </c>
      <c r="J3" s="10">
        <v>0</v>
      </c>
      <c r="K3" s="10">
        <v>0</v>
      </c>
      <c r="L3" s="10">
        <v>0</v>
      </c>
      <c r="N3" s="10" t="s">
        <v>682</v>
      </c>
      <c r="O3" s="10" t="s">
        <v>683</v>
      </c>
      <c r="P3" s="10">
        <v>0</v>
      </c>
      <c r="Q3" s="10">
        <v>0</v>
      </c>
      <c r="R3" s="10">
        <v>0</v>
      </c>
      <c r="S3" s="10">
        <v>0</v>
      </c>
      <c r="T3" s="10">
        <v>0</v>
      </c>
      <c r="U3" s="10">
        <v>0</v>
      </c>
      <c r="V3" s="10">
        <v>0</v>
      </c>
      <c r="W3" s="10">
        <v>0</v>
      </c>
    </row>
    <row r="4" spans="1:23" x14ac:dyDescent="0.3">
      <c r="A4" s="3">
        <v>103</v>
      </c>
      <c r="B4" s="26" t="s">
        <v>684</v>
      </c>
      <c r="C4" s="3">
        <v>10000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N4" s="10" t="s">
        <v>685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</row>
    <row r="5" spans="1:23" x14ac:dyDescent="0.3">
      <c r="A5" s="3">
        <v>104</v>
      </c>
      <c r="B5" s="26" t="s">
        <v>686</v>
      </c>
      <c r="C5" s="3">
        <v>10000</v>
      </c>
      <c r="D5" s="10">
        <v>0</v>
      </c>
      <c r="E5" s="10">
        <v>0</v>
      </c>
      <c r="F5" s="10">
        <v>0</v>
      </c>
      <c r="G5" s="10">
        <v>0</v>
      </c>
      <c r="H5" s="10">
        <v>0</v>
      </c>
      <c r="I5" s="10">
        <v>0</v>
      </c>
      <c r="J5" s="10">
        <v>0</v>
      </c>
      <c r="K5" s="10">
        <v>0</v>
      </c>
      <c r="L5" s="10">
        <v>0</v>
      </c>
      <c r="N5" s="10" t="s">
        <v>687</v>
      </c>
      <c r="O5" s="10">
        <v>0</v>
      </c>
      <c r="P5" s="10">
        <v>0</v>
      </c>
      <c r="Q5" s="10">
        <v>0</v>
      </c>
      <c r="R5" s="10">
        <v>0</v>
      </c>
      <c r="S5" s="10">
        <v>0</v>
      </c>
      <c r="T5" s="10">
        <v>0</v>
      </c>
      <c r="U5" s="10">
        <v>0</v>
      </c>
      <c r="V5" s="10">
        <v>0</v>
      </c>
      <c r="W5" s="10">
        <v>0</v>
      </c>
    </row>
    <row r="6" spans="1:23" x14ac:dyDescent="0.3">
      <c r="A6" s="3">
        <v>105</v>
      </c>
      <c r="B6" s="26" t="s">
        <v>688</v>
      </c>
      <c r="C6" s="3">
        <v>1</v>
      </c>
      <c r="D6" s="10">
        <v>0</v>
      </c>
      <c r="E6" s="10">
        <v>0</v>
      </c>
      <c r="F6" s="10">
        <v>0</v>
      </c>
      <c r="G6" s="10">
        <v>0</v>
      </c>
      <c r="H6" s="10">
        <v>0</v>
      </c>
      <c r="I6" s="10">
        <v>0</v>
      </c>
      <c r="J6" s="10">
        <v>0</v>
      </c>
      <c r="K6" s="10">
        <v>0</v>
      </c>
      <c r="L6" s="10">
        <v>0</v>
      </c>
      <c r="N6" s="10" t="s">
        <v>689</v>
      </c>
      <c r="O6" s="10">
        <v>0</v>
      </c>
      <c r="P6" s="10">
        <v>0</v>
      </c>
      <c r="Q6" s="10">
        <v>0</v>
      </c>
      <c r="R6" s="10">
        <v>0</v>
      </c>
      <c r="S6" s="10">
        <v>0</v>
      </c>
      <c r="T6" s="10">
        <v>0</v>
      </c>
      <c r="U6" s="10">
        <v>0</v>
      </c>
      <c r="V6" s="10">
        <v>0</v>
      </c>
      <c r="W6" s="10">
        <v>0</v>
      </c>
    </row>
    <row r="7" spans="1:23" x14ac:dyDescent="0.3">
      <c r="A7" s="3">
        <v>106</v>
      </c>
      <c r="B7" s="26" t="s">
        <v>690</v>
      </c>
      <c r="C7" s="3">
        <v>7</v>
      </c>
      <c r="D7" s="3">
        <v>2</v>
      </c>
      <c r="E7" s="10">
        <v>0</v>
      </c>
      <c r="F7" s="10">
        <v>0</v>
      </c>
      <c r="G7" s="10">
        <v>0</v>
      </c>
      <c r="H7" s="10">
        <v>0</v>
      </c>
      <c r="I7" s="10">
        <v>0</v>
      </c>
      <c r="J7" s="10">
        <v>0</v>
      </c>
      <c r="K7" s="10">
        <v>0</v>
      </c>
      <c r="L7" s="10">
        <v>0</v>
      </c>
      <c r="N7" s="10" t="s">
        <v>691</v>
      </c>
      <c r="O7" s="10" t="s">
        <v>692</v>
      </c>
      <c r="P7" s="10">
        <v>0</v>
      </c>
      <c r="Q7" s="10">
        <v>0</v>
      </c>
      <c r="R7" s="10">
        <v>0</v>
      </c>
      <c r="S7" s="10">
        <v>0</v>
      </c>
      <c r="T7" s="10">
        <v>0</v>
      </c>
      <c r="U7" s="10">
        <v>0</v>
      </c>
      <c r="V7" s="10">
        <v>0</v>
      </c>
      <c r="W7" s="10">
        <v>0</v>
      </c>
    </row>
    <row r="8" spans="1:23" x14ac:dyDescent="0.3">
      <c r="A8" s="3">
        <v>107</v>
      </c>
      <c r="B8" s="26" t="s">
        <v>693</v>
      </c>
      <c r="C8" s="3">
        <v>2</v>
      </c>
      <c r="D8" s="10">
        <v>0</v>
      </c>
      <c r="E8" s="10">
        <v>0</v>
      </c>
      <c r="F8" s="10">
        <v>0</v>
      </c>
      <c r="G8" s="10">
        <v>0</v>
      </c>
      <c r="H8" s="10">
        <v>0</v>
      </c>
      <c r="I8" s="10">
        <v>0</v>
      </c>
      <c r="J8" s="10">
        <v>0</v>
      </c>
      <c r="K8" s="10">
        <v>0</v>
      </c>
      <c r="L8" s="10">
        <v>0</v>
      </c>
      <c r="N8" s="10" t="s">
        <v>689</v>
      </c>
      <c r="O8" s="10">
        <v>0</v>
      </c>
      <c r="P8" s="10">
        <v>0</v>
      </c>
      <c r="Q8" s="10">
        <v>0</v>
      </c>
      <c r="R8" s="10">
        <v>0</v>
      </c>
      <c r="S8" s="10">
        <v>0</v>
      </c>
      <c r="T8" s="10">
        <v>0</v>
      </c>
      <c r="U8" s="10">
        <v>0</v>
      </c>
      <c r="V8" s="10">
        <v>0</v>
      </c>
      <c r="W8" s="10">
        <v>0</v>
      </c>
    </row>
    <row r="9" spans="1:23" x14ac:dyDescent="0.3">
      <c r="A9" s="3">
        <v>108</v>
      </c>
      <c r="B9" s="26" t="s">
        <v>694</v>
      </c>
      <c r="C9" s="3">
        <v>2</v>
      </c>
      <c r="D9" s="3">
        <v>10000</v>
      </c>
      <c r="E9" s="10">
        <v>0</v>
      </c>
      <c r="F9" s="10">
        <v>0</v>
      </c>
      <c r="G9" s="10">
        <v>0</v>
      </c>
      <c r="H9" s="10">
        <v>0</v>
      </c>
      <c r="I9" s="10">
        <v>0</v>
      </c>
      <c r="J9" s="10">
        <v>0</v>
      </c>
      <c r="K9" s="10">
        <v>0</v>
      </c>
      <c r="L9" s="10">
        <v>0</v>
      </c>
      <c r="N9" s="10" t="s">
        <v>695</v>
      </c>
      <c r="O9" s="10" t="s">
        <v>683</v>
      </c>
      <c r="P9" s="10">
        <v>0</v>
      </c>
      <c r="Q9" s="10">
        <v>0</v>
      </c>
      <c r="R9" s="10">
        <v>0</v>
      </c>
      <c r="S9" s="10">
        <v>0</v>
      </c>
      <c r="T9" s="10">
        <v>0</v>
      </c>
      <c r="U9" s="10">
        <v>0</v>
      </c>
      <c r="V9" s="10">
        <v>0</v>
      </c>
      <c r="W9" s="10">
        <v>0</v>
      </c>
    </row>
    <row r="10" spans="1:23" x14ac:dyDescent="0.3">
      <c r="A10" s="3">
        <v>109</v>
      </c>
      <c r="B10" s="26" t="s">
        <v>696</v>
      </c>
      <c r="C10" s="3">
        <v>4</v>
      </c>
      <c r="D10" s="3">
        <v>10000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N10" s="10" t="s">
        <v>695</v>
      </c>
      <c r="O10" s="10" t="s">
        <v>683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</row>
    <row r="11" spans="1:23" x14ac:dyDescent="0.3">
      <c r="A11" s="3">
        <v>110</v>
      </c>
      <c r="B11" s="26" t="s">
        <v>697</v>
      </c>
      <c r="C11" s="3">
        <v>3</v>
      </c>
      <c r="D11" s="10">
        <v>0</v>
      </c>
      <c r="E11" s="10">
        <v>0</v>
      </c>
      <c r="F11" s="10">
        <v>0</v>
      </c>
      <c r="G11" s="10">
        <v>0</v>
      </c>
      <c r="H11" s="10">
        <v>0</v>
      </c>
      <c r="I11" s="10">
        <v>0</v>
      </c>
      <c r="J11" s="10">
        <v>0</v>
      </c>
      <c r="K11" s="10">
        <v>0</v>
      </c>
      <c r="L11" s="10">
        <v>0</v>
      </c>
      <c r="N11" s="10" t="s">
        <v>701</v>
      </c>
      <c r="O11" s="10">
        <v>0</v>
      </c>
      <c r="P11" s="10">
        <v>0</v>
      </c>
      <c r="Q11" s="10">
        <v>0</v>
      </c>
      <c r="R11" s="10">
        <v>0</v>
      </c>
      <c r="S11" s="10">
        <v>0</v>
      </c>
      <c r="T11" s="10">
        <v>0</v>
      </c>
      <c r="U11" s="10">
        <v>0</v>
      </c>
      <c r="V11" s="10">
        <v>0</v>
      </c>
      <c r="W11" s="10">
        <v>0</v>
      </c>
    </row>
    <row r="12" spans="1:23" x14ac:dyDescent="0.3">
      <c r="A12" s="3">
        <v>111</v>
      </c>
      <c r="B12" s="26" t="s">
        <v>698</v>
      </c>
      <c r="C12" s="3">
        <v>1</v>
      </c>
      <c r="D12" s="3">
        <v>2</v>
      </c>
      <c r="E12" s="10">
        <v>0</v>
      </c>
      <c r="F12" s="10">
        <v>0</v>
      </c>
      <c r="G12" s="10">
        <v>0</v>
      </c>
      <c r="H12" s="10">
        <v>0</v>
      </c>
      <c r="I12" s="10">
        <v>0</v>
      </c>
      <c r="J12" s="10">
        <v>0</v>
      </c>
      <c r="K12" s="10">
        <v>0</v>
      </c>
      <c r="L12" s="10">
        <v>0</v>
      </c>
      <c r="N12" s="10" t="s">
        <v>702</v>
      </c>
      <c r="O12" s="10" t="s">
        <v>689</v>
      </c>
      <c r="P12" s="10">
        <v>0</v>
      </c>
      <c r="Q12" s="10">
        <v>0</v>
      </c>
      <c r="R12" s="10">
        <v>0</v>
      </c>
      <c r="S12" s="10">
        <v>0</v>
      </c>
      <c r="T12" s="10">
        <v>0</v>
      </c>
      <c r="U12" s="10">
        <v>0</v>
      </c>
      <c r="V12" s="10">
        <v>0</v>
      </c>
      <c r="W12" s="10">
        <v>0</v>
      </c>
    </row>
    <row r="13" spans="1:23" x14ac:dyDescent="0.3">
      <c r="A13" s="3">
        <v>112</v>
      </c>
      <c r="B13" s="26" t="s">
        <v>699</v>
      </c>
      <c r="C13" s="3">
        <v>5</v>
      </c>
      <c r="D13" s="3">
        <v>1</v>
      </c>
      <c r="E13" s="10">
        <v>0</v>
      </c>
      <c r="F13" s="10">
        <v>0</v>
      </c>
      <c r="G13" s="10">
        <v>0</v>
      </c>
      <c r="H13" s="10">
        <v>0</v>
      </c>
      <c r="I13" s="10">
        <v>0</v>
      </c>
      <c r="J13" s="10">
        <v>0</v>
      </c>
      <c r="K13" s="10">
        <v>0</v>
      </c>
      <c r="L13" s="10">
        <v>0</v>
      </c>
      <c r="N13" s="10" t="s">
        <v>701</v>
      </c>
      <c r="O13" s="10" t="s">
        <v>703</v>
      </c>
      <c r="P13" s="10">
        <v>0</v>
      </c>
      <c r="Q13" s="10">
        <v>0</v>
      </c>
      <c r="R13" s="10">
        <v>0</v>
      </c>
      <c r="S13" s="10">
        <v>0</v>
      </c>
      <c r="T13" s="10">
        <v>0</v>
      </c>
      <c r="U13" s="10">
        <v>0</v>
      </c>
      <c r="V13" s="10">
        <v>0</v>
      </c>
      <c r="W13" s="10">
        <v>0</v>
      </c>
    </row>
    <row r="14" spans="1:23" x14ac:dyDescent="0.3">
      <c r="A14" s="3">
        <v>113</v>
      </c>
      <c r="B14" s="26" t="s">
        <v>700</v>
      </c>
      <c r="C14" s="3">
        <v>3</v>
      </c>
      <c r="D14" s="10">
        <v>0</v>
      </c>
      <c r="E14" s="10">
        <v>0</v>
      </c>
      <c r="F14" s="10">
        <v>0</v>
      </c>
      <c r="G14" s="10">
        <v>0</v>
      </c>
      <c r="H14" s="10">
        <v>0</v>
      </c>
      <c r="I14" s="10">
        <v>0</v>
      </c>
      <c r="J14" s="10">
        <v>0</v>
      </c>
      <c r="K14" s="10">
        <v>0</v>
      </c>
      <c r="L14" s="10">
        <v>0</v>
      </c>
      <c r="N14" s="10" t="s">
        <v>701</v>
      </c>
      <c r="O14" s="10">
        <v>0</v>
      </c>
      <c r="P14" s="10">
        <v>0</v>
      </c>
      <c r="Q14" s="10">
        <v>0</v>
      </c>
      <c r="R14" s="10">
        <v>0</v>
      </c>
      <c r="S14" s="10">
        <v>0</v>
      </c>
      <c r="T14" s="10">
        <v>0</v>
      </c>
      <c r="U14" s="10">
        <v>0</v>
      </c>
      <c r="V14" s="10">
        <v>0</v>
      </c>
      <c r="W14" s="10">
        <v>0</v>
      </c>
    </row>
    <row r="15" spans="1:23" x14ac:dyDescent="0.3">
      <c r="A15" s="3">
        <v>114</v>
      </c>
      <c r="B15" s="26" t="s">
        <v>698</v>
      </c>
      <c r="C15" s="3">
        <v>1</v>
      </c>
      <c r="D15" s="3">
        <v>5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N15" s="10" t="s">
        <v>702</v>
      </c>
      <c r="O15" s="10" t="s">
        <v>689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</row>
    <row r="16" spans="1:23" x14ac:dyDescent="0.3">
      <c r="A16" s="3">
        <v>115</v>
      </c>
      <c r="B16" s="26" t="s">
        <v>699</v>
      </c>
      <c r="C16" s="3">
        <v>5</v>
      </c>
      <c r="D16" s="3">
        <v>2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N16" s="10" t="s">
        <v>701</v>
      </c>
      <c r="O16" s="10" t="s">
        <v>703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</row>
    <row r="17" spans="1:23" x14ac:dyDescent="0.3">
      <c r="A17" s="3">
        <v>116</v>
      </c>
      <c r="B17" s="26" t="s">
        <v>818</v>
      </c>
      <c r="C17" s="3">
        <v>5000</v>
      </c>
      <c r="D17" s="3">
        <v>0</v>
      </c>
      <c r="E17" s="3">
        <v>0</v>
      </c>
      <c r="F17" s="3">
        <v>0</v>
      </c>
      <c r="G17" s="3">
        <v>0</v>
      </c>
      <c r="H17" s="3">
        <v>0</v>
      </c>
      <c r="I17" s="3">
        <v>0</v>
      </c>
      <c r="J17" s="3">
        <v>0</v>
      </c>
      <c r="K17" s="3">
        <v>0</v>
      </c>
      <c r="L17" s="3">
        <v>0</v>
      </c>
      <c r="N17" s="10" t="s">
        <v>824</v>
      </c>
      <c r="O17" s="10">
        <v>0</v>
      </c>
      <c r="P17" s="10">
        <v>0</v>
      </c>
      <c r="Q17" s="10">
        <v>0</v>
      </c>
      <c r="R17" s="10">
        <v>0</v>
      </c>
      <c r="S17" s="10">
        <v>0</v>
      </c>
      <c r="T17" s="10">
        <v>0</v>
      </c>
      <c r="U17" s="10">
        <v>0</v>
      </c>
      <c r="V17" s="10">
        <v>0</v>
      </c>
      <c r="W17" s="10">
        <v>0</v>
      </c>
    </row>
    <row r="18" spans="1:23" x14ac:dyDescent="0.3">
      <c r="A18" s="3">
        <v>117</v>
      </c>
      <c r="B18" s="26" t="s">
        <v>819</v>
      </c>
      <c r="C18" s="3">
        <v>1000</v>
      </c>
      <c r="D18" s="3">
        <v>0</v>
      </c>
      <c r="E18" s="3">
        <v>0</v>
      </c>
      <c r="F18" s="3">
        <v>0</v>
      </c>
      <c r="G18" s="3">
        <v>0</v>
      </c>
      <c r="H18" s="3">
        <v>0</v>
      </c>
      <c r="I18" s="3">
        <v>0</v>
      </c>
      <c r="J18" s="3">
        <v>0</v>
      </c>
      <c r="K18" s="3">
        <v>0</v>
      </c>
      <c r="L18" s="3">
        <v>0</v>
      </c>
      <c r="N18" s="10" t="s">
        <v>825</v>
      </c>
      <c r="O18" s="10">
        <v>0</v>
      </c>
      <c r="P18" s="10">
        <v>0</v>
      </c>
      <c r="Q18" s="10">
        <v>0</v>
      </c>
      <c r="R18" s="10">
        <v>0</v>
      </c>
      <c r="S18" s="10">
        <v>0</v>
      </c>
      <c r="T18" s="10">
        <v>0</v>
      </c>
      <c r="U18" s="10">
        <v>0</v>
      </c>
      <c r="V18" s="10">
        <v>0</v>
      </c>
      <c r="W18" s="10">
        <v>0</v>
      </c>
    </row>
    <row r="19" spans="1:23" x14ac:dyDescent="0.3">
      <c r="A19" s="3">
        <v>118</v>
      </c>
      <c r="B19" s="26" t="s">
        <v>820</v>
      </c>
      <c r="C19" s="3">
        <v>1</v>
      </c>
      <c r="D19" s="3">
        <v>0</v>
      </c>
      <c r="E19" s="3">
        <v>0</v>
      </c>
      <c r="F19" s="3">
        <v>0</v>
      </c>
      <c r="G19" s="3">
        <v>0</v>
      </c>
      <c r="H19" s="3">
        <v>0</v>
      </c>
      <c r="I19" s="3">
        <v>0</v>
      </c>
      <c r="J19" s="3">
        <v>0</v>
      </c>
      <c r="K19" s="3">
        <v>0</v>
      </c>
      <c r="L19" s="3">
        <v>0</v>
      </c>
      <c r="N19" s="10" t="s">
        <v>703</v>
      </c>
      <c r="O19" s="10">
        <v>0</v>
      </c>
      <c r="P19" s="10">
        <v>0</v>
      </c>
      <c r="Q19" s="10">
        <v>0</v>
      </c>
      <c r="R19" s="10">
        <v>0</v>
      </c>
      <c r="S19" s="10">
        <v>0</v>
      </c>
      <c r="T19" s="10">
        <v>0</v>
      </c>
      <c r="U19" s="10">
        <v>0</v>
      </c>
      <c r="V19" s="10">
        <v>0</v>
      </c>
      <c r="W19" s="10">
        <v>0</v>
      </c>
    </row>
    <row r="20" spans="1:23" x14ac:dyDescent="0.3">
      <c r="A20" s="3">
        <v>119</v>
      </c>
      <c r="B20" s="26" t="s">
        <v>821</v>
      </c>
      <c r="C20" s="3">
        <v>1</v>
      </c>
      <c r="D20" s="3">
        <v>0</v>
      </c>
      <c r="E20" s="3">
        <v>0</v>
      </c>
      <c r="F20" s="3">
        <v>0</v>
      </c>
      <c r="G20" s="3">
        <v>0</v>
      </c>
      <c r="H20" s="3">
        <v>0</v>
      </c>
      <c r="I20" s="3">
        <v>0</v>
      </c>
      <c r="J20" s="3">
        <v>0</v>
      </c>
      <c r="K20" s="3">
        <v>0</v>
      </c>
      <c r="L20" s="3">
        <v>0</v>
      </c>
      <c r="N20" s="10" t="s">
        <v>826</v>
      </c>
      <c r="O20" s="10">
        <v>0</v>
      </c>
      <c r="P20" s="10">
        <v>0</v>
      </c>
      <c r="Q20" s="10">
        <v>0</v>
      </c>
      <c r="R20" s="10">
        <v>0</v>
      </c>
      <c r="S20" s="10">
        <v>0</v>
      </c>
      <c r="T20" s="10">
        <v>0</v>
      </c>
      <c r="U20" s="10">
        <v>0</v>
      </c>
      <c r="V20" s="10">
        <v>0</v>
      </c>
      <c r="W20" s="10">
        <v>0</v>
      </c>
    </row>
    <row r="21" spans="1:23" x14ac:dyDescent="0.3">
      <c r="A21" s="3">
        <v>120</v>
      </c>
      <c r="B21" s="26" t="s">
        <v>822</v>
      </c>
      <c r="C21" s="3">
        <v>10000</v>
      </c>
      <c r="D21" s="3">
        <v>0</v>
      </c>
      <c r="E21" s="3">
        <v>0</v>
      </c>
      <c r="F21" s="3">
        <v>0</v>
      </c>
      <c r="G21" s="3">
        <v>0</v>
      </c>
      <c r="H21" s="3">
        <v>0</v>
      </c>
      <c r="I21" s="3">
        <v>0</v>
      </c>
      <c r="J21" s="3">
        <v>0</v>
      </c>
      <c r="K21" s="3">
        <v>0</v>
      </c>
      <c r="L21" s="3">
        <v>0</v>
      </c>
      <c r="N21" s="10" t="s">
        <v>683</v>
      </c>
      <c r="O21" s="10">
        <v>0</v>
      </c>
      <c r="P21" s="10">
        <v>0</v>
      </c>
      <c r="Q21" s="10">
        <v>0</v>
      </c>
      <c r="R21" s="10">
        <v>0</v>
      </c>
      <c r="S21" s="10">
        <v>0</v>
      </c>
      <c r="T21" s="10">
        <v>0</v>
      </c>
      <c r="U21" s="10">
        <v>0</v>
      </c>
      <c r="V21" s="10">
        <v>0</v>
      </c>
      <c r="W21" s="10">
        <v>0</v>
      </c>
    </row>
    <row r="22" spans="1:23" x14ac:dyDescent="0.3">
      <c r="A22" s="3">
        <v>121</v>
      </c>
      <c r="B22" s="26" t="s">
        <v>823</v>
      </c>
      <c r="C22" s="3">
        <v>10000</v>
      </c>
      <c r="D22" s="3">
        <v>0</v>
      </c>
      <c r="E22" s="3">
        <v>0</v>
      </c>
      <c r="F22" s="3">
        <v>0</v>
      </c>
      <c r="G22" s="3">
        <v>0</v>
      </c>
      <c r="H22" s="3">
        <v>0</v>
      </c>
      <c r="I22" s="3">
        <v>0</v>
      </c>
      <c r="J22" s="3">
        <v>0</v>
      </c>
      <c r="K22" s="3">
        <v>0</v>
      </c>
      <c r="L22" s="3">
        <v>0</v>
      </c>
      <c r="N22" s="10" t="s">
        <v>683</v>
      </c>
      <c r="O22" s="10">
        <v>0</v>
      </c>
      <c r="P22" s="10">
        <v>0</v>
      </c>
      <c r="Q22" s="10">
        <v>0</v>
      </c>
      <c r="R22" s="10">
        <v>0</v>
      </c>
      <c r="S22" s="10">
        <v>0</v>
      </c>
      <c r="T22" s="10">
        <v>0</v>
      </c>
      <c r="U22" s="10">
        <v>0</v>
      </c>
      <c r="V22" s="10">
        <v>0</v>
      </c>
      <c r="W22" s="10">
        <v>0</v>
      </c>
    </row>
    <row r="23" spans="1:23" x14ac:dyDescent="0.3">
      <c r="N23" s="10">
        <v>0</v>
      </c>
      <c r="O23" s="10">
        <v>0</v>
      </c>
      <c r="P23" s="10">
        <v>0</v>
      </c>
      <c r="Q23" s="10">
        <v>0</v>
      </c>
      <c r="R23" s="10">
        <v>0</v>
      </c>
      <c r="S23" s="10">
        <v>0</v>
      </c>
      <c r="T23" s="10">
        <v>0</v>
      </c>
      <c r="U23" s="10">
        <v>0</v>
      </c>
      <c r="V23" s="10">
        <v>0</v>
      </c>
      <c r="W23" s="10">
        <v>0</v>
      </c>
    </row>
    <row r="24" spans="1:23" x14ac:dyDescent="0.3"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</row>
    <row r="25" spans="1:23" x14ac:dyDescent="0.3">
      <c r="N25" s="10">
        <v>0</v>
      </c>
      <c r="O25" s="10">
        <v>0</v>
      </c>
      <c r="P25" s="10">
        <v>0</v>
      </c>
      <c r="Q25" s="10">
        <v>0</v>
      </c>
      <c r="R25" s="10">
        <v>0</v>
      </c>
      <c r="S25" s="10">
        <v>0</v>
      </c>
      <c r="T25" s="10">
        <v>0</v>
      </c>
      <c r="U25" s="10">
        <v>0</v>
      </c>
      <c r="V25" s="10">
        <v>0</v>
      </c>
      <c r="W25" s="10">
        <v>0</v>
      </c>
    </row>
    <row r="26" spans="1:23" x14ac:dyDescent="0.3">
      <c r="N26" s="10">
        <v>0</v>
      </c>
      <c r="O26" s="10">
        <v>0</v>
      </c>
      <c r="P26" s="10">
        <v>0</v>
      </c>
      <c r="Q26" s="10">
        <v>0</v>
      </c>
      <c r="R26" s="10">
        <v>0</v>
      </c>
      <c r="S26" s="10">
        <v>0</v>
      </c>
      <c r="T26" s="10">
        <v>0</v>
      </c>
      <c r="U26" s="10">
        <v>0</v>
      </c>
      <c r="V26" s="10">
        <v>0</v>
      </c>
      <c r="W26" s="10">
        <v>0</v>
      </c>
    </row>
    <row r="27" spans="1:23" x14ac:dyDescent="0.3">
      <c r="N27" s="10">
        <v>0</v>
      </c>
      <c r="O27" s="10">
        <v>0</v>
      </c>
      <c r="P27" s="10">
        <v>0</v>
      </c>
      <c r="Q27" s="10">
        <v>0</v>
      </c>
      <c r="R27" s="10">
        <v>0</v>
      </c>
      <c r="S27" s="10">
        <v>0</v>
      </c>
      <c r="T27" s="10">
        <v>0</v>
      </c>
      <c r="U27" s="10">
        <v>0</v>
      </c>
      <c r="V27" s="10">
        <v>0</v>
      </c>
      <c r="W27" s="10">
        <v>0</v>
      </c>
    </row>
    <row r="28" spans="1:23" x14ac:dyDescent="0.3">
      <c r="N28" s="10">
        <v>0</v>
      </c>
      <c r="O28" s="10">
        <v>0</v>
      </c>
      <c r="P28" s="10">
        <v>0</v>
      </c>
      <c r="Q28" s="10">
        <v>0</v>
      </c>
      <c r="R28" s="10">
        <v>0</v>
      </c>
      <c r="S28" s="10">
        <v>0</v>
      </c>
      <c r="T28" s="10">
        <v>0</v>
      </c>
      <c r="U28" s="10">
        <v>0</v>
      </c>
      <c r="V28" s="10">
        <v>0</v>
      </c>
      <c r="W28" s="10">
        <v>0</v>
      </c>
    </row>
    <row r="29" spans="1:23" x14ac:dyDescent="0.3">
      <c r="N29" s="10">
        <v>0</v>
      </c>
      <c r="O29" s="10">
        <v>0</v>
      </c>
      <c r="P29" s="10">
        <v>0</v>
      </c>
      <c r="Q29" s="10">
        <v>0</v>
      </c>
      <c r="R29" s="10">
        <v>0</v>
      </c>
      <c r="S29" s="10">
        <v>0</v>
      </c>
      <c r="T29" s="10">
        <v>0</v>
      </c>
      <c r="U29" s="10">
        <v>0</v>
      </c>
      <c r="V29" s="10">
        <v>0</v>
      </c>
      <c r="W29" s="10">
        <v>0</v>
      </c>
    </row>
    <row r="30" spans="1:23" x14ac:dyDescent="0.3">
      <c r="N30" s="10">
        <v>0</v>
      </c>
      <c r="O30" s="10">
        <v>0</v>
      </c>
      <c r="P30" s="10">
        <v>0</v>
      </c>
      <c r="Q30" s="10">
        <v>0</v>
      </c>
      <c r="R30" s="10">
        <v>0</v>
      </c>
      <c r="S30" s="10">
        <v>0</v>
      </c>
      <c r="T30" s="10">
        <v>0</v>
      </c>
      <c r="U30" s="10">
        <v>0</v>
      </c>
      <c r="V30" s="10">
        <v>0</v>
      </c>
      <c r="W30" s="10">
        <v>0</v>
      </c>
    </row>
    <row r="31" spans="1:23" x14ac:dyDescent="0.3">
      <c r="N31" s="10">
        <v>0</v>
      </c>
      <c r="O31" s="10">
        <v>0</v>
      </c>
      <c r="P31" s="10">
        <v>0</v>
      </c>
      <c r="Q31" s="10">
        <v>0</v>
      </c>
      <c r="R31" s="10">
        <v>0</v>
      </c>
      <c r="S31" s="10">
        <v>0</v>
      </c>
      <c r="T31" s="10">
        <v>0</v>
      </c>
      <c r="U31" s="10">
        <v>0</v>
      </c>
      <c r="V31" s="10">
        <v>0</v>
      </c>
      <c r="W31" s="10">
        <v>0</v>
      </c>
    </row>
    <row r="32" spans="1:23" x14ac:dyDescent="0.3">
      <c r="N32" s="10">
        <v>0</v>
      </c>
      <c r="O32" s="10">
        <v>0</v>
      </c>
      <c r="P32" s="10">
        <v>0</v>
      </c>
      <c r="Q32" s="10">
        <v>0</v>
      </c>
      <c r="R32" s="10">
        <v>0</v>
      </c>
      <c r="S32" s="10">
        <v>0</v>
      </c>
      <c r="T32" s="10">
        <v>0</v>
      </c>
      <c r="U32" s="10">
        <v>0</v>
      </c>
      <c r="V32" s="10">
        <v>0</v>
      </c>
      <c r="W32" s="10">
        <v>0</v>
      </c>
    </row>
    <row r="33" spans="14:23" x14ac:dyDescent="0.3">
      <c r="N33" s="10">
        <v>0</v>
      </c>
      <c r="O33" s="10">
        <v>0</v>
      </c>
      <c r="P33" s="10">
        <v>0</v>
      </c>
      <c r="Q33" s="10">
        <v>0</v>
      </c>
      <c r="R33" s="10">
        <v>0</v>
      </c>
      <c r="S33" s="10">
        <v>0</v>
      </c>
      <c r="T33" s="10">
        <v>0</v>
      </c>
      <c r="U33" s="10">
        <v>0</v>
      </c>
      <c r="V33" s="10">
        <v>0</v>
      </c>
      <c r="W33" s="10">
        <v>0</v>
      </c>
    </row>
    <row r="34" spans="14:23" x14ac:dyDescent="0.3">
      <c r="N34" s="10">
        <v>0</v>
      </c>
      <c r="O34" s="10">
        <v>0</v>
      </c>
      <c r="P34" s="10">
        <v>0</v>
      </c>
      <c r="Q34" s="10">
        <v>0</v>
      </c>
      <c r="R34" s="10">
        <v>0</v>
      </c>
      <c r="S34" s="10">
        <v>0</v>
      </c>
      <c r="T34" s="10">
        <v>0</v>
      </c>
      <c r="U34" s="10">
        <v>0</v>
      </c>
      <c r="V34" s="10">
        <v>0</v>
      </c>
      <c r="W34" s="10">
        <v>0</v>
      </c>
    </row>
    <row r="35" spans="14:23" x14ac:dyDescent="0.3"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</row>
    <row r="36" spans="14:23" x14ac:dyDescent="0.3">
      <c r="N36" s="10">
        <v>0</v>
      </c>
      <c r="O36" s="10">
        <v>0</v>
      </c>
      <c r="P36" s="10">
        <v>0</v>
      </c>
      <c r="Q36" s="10">
        <v>0</v>
      </c>
      <c r="R36" s="10">
        <v>0</v>
      </c>
      <c r="S36" s="10">
        <v>0</v>
      </c>
      <c r="T36" s="10">
        <v>0</v>
      </c>
      <c r="U36" s="10">
        <v>0</v>
      </c>
      <c r="V36" s="10">
        <v>0</v>
      </c>
      <c r="W36" s="10">
        <v>0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5A4CEE-6FD1-4EF1-9D59-9D13D8480B88}">
  <sheetPr codeName="Sheet7"/>
  <dimension ref="A1:AB11"/>
  <sheetViews>
    <sheetView zoomScaleNormal="100" workbookViewId="0">
      <selection activeCell="G10" sqref="G10"/>
    </sheetView>
  </sheetViews>
  <sheetFormatPr defaultRowHeight="12" x14ac:dyDescent="0.3"/>
  <cols>
    <col min="1" max="2" width="9" style="3"/>
    <col min="3" max="3" width="10.625" style="3" bestFit="1" customWidth="1"/>
    <col min="4" max="4" width="9" style="3"/>
    <col min="5" max="5" width="9.5" style="3" bestFit="1" customWidth="1"/>
    <col min="6" max="6" width="9" style="26"/>
    <col min="7" max="7" width="71.875" style="26" bestFit="1" customWidth="1"/>
    <col min="8" max="14" width="9" style="3"/>
    <col min="15" max="15" width="9" style="3" customWidth="1"/>
    <col min="16" max="17" width="9" style="3"/>
    <col min="18" max="18" width="2.875" style="17" customWidth="1"/>
    <col min="19" max="19" width="20" style="3" bestFit="1" customWidth="1"/>
    <col min="20" max="20" width="19.375" style="3" bestFit="1" customWidth="1"/>
    <col min="21" max="28" width="9" style="3"/>
    <col min="29" max="16384" width="9" style="1"/>
  </cols>
  <sheetData>
    <row r="1" spans="1:28" s="11" customFormat="1" x14ac:dyDescent="0.3">
      <c r="A1" s="2" t="s">
        <v>107</v>
      </c>
      <c r="B1" s="2" t="s">
        <v>704</v>
      </c>
      <c r="C1" s="2" t="s">
        <v>705</v>
      </c>
      <c r="D1" s="2" t="s">
        <v>706</v>
      </c>
      <c r="E1" s="2" t="s">
        <v>728</v>
      </c>
      <c r="F1" s="25" t="s">
        <v>10</v>
      </c>
      <c r="G1" s="25" t="s">
        <v>21</v>
      </c>
      <c r="H1" s="2" t="s">
        <v>146</v>
      </c>
      <c r="I1" s="2" t="s">
        <v>147</v>
      </c>
      <c r="J1" s="2" t="s">
        <v>148</v>
      </c>
      <c r="K1" s="2" t="s">
        <v>149</v>
      </c>
      <c r="L1" s="2" t="s">
        <v>150</v>
      </c>
      <c r="M1" s="2" t="s">
        <v>151</v>
      </c>
      <c r="N1" s="2" t="s">
        <v>152</v>
      </c>
      <c r="O1" s="2" t="s">
        <v>153</v>
      </c>
      <c r="P1" s="2" t="s">
        <v>154</v>
      </c>
      <c r="Q1" s="2" t="s">
        <v>20</v>
      </c>
      <c r="R1" s="12"/>
      <c r="S1" s="2" t="s">
        <v>146</v>
      </c>
      <c r="T1" s="2" t="s">
        <v>147</v>
      </c>
      <c r="U1" s="2" t="s">
        <v>148</v>
      </c>
      <c r="V1" s="2" t="s">
        <v>149</v>
      </c>
      <c r="W1" s="2" t="s">
        <v>150</v>
      </c>
      <c r="X1" s="2" t="s">
        <v>151</v>
      </c>
      <c r="Y1" s="2" t="s">
        <v>152</v>
      </c>
      <c r="Z1" s="2" t="s">
        <v>153</v>
      </c>
      <c r="AA1" s="2" t="s">
        <v>154</v>
      </c>
      <c r="AB1" s="2" t="s">
        <v>20</v>
      </c>
    </row>
    <row r="2" spans="1:28" x14ac:dyDescent="0.3">
      <c r="A2" s="3">
        <v>1</v>
      </c>
      <c r="B2" s="3">
        <v>1</v>
      </c>
      <c r="C2" s="3" t="s">
        <v>717</v>
      </c>
      <c r="D2" s="3" t="s">
        <v>707</v>
      </c>
      <c r="E2" s="3">
        <v>0</v>
      </c>
      <c r="F2" s="26" t="s">
        <v>576</v>
      </c>
      <c r="G2" s="26">
        <v>0</v>
      </c>
      <c r="H2" s="3">
        <v>0</v>
      </c>
      <c r="I2" s="3">
        <v>0</v>
      </c>
      <c r="J2" s="3">
        <v>0</v>
      </c>
      <c r="K2" s="3">
        <v>0</v>
      </c>
      <c r="L2" s="3">
        <v>0</v>
      </c>
      <c r="M2" s="3">
        <v>0</v>
      </c>
      <c r="N2" s="3">
        <v>0</v>
      </c>
      <c r="O2" s="3">
        <v>0</v>
      </c>
      <c r="P2" s="3">
        <v>0</v>
      </c>
      <c r="Q2" s="3">
        <v>0</v>
      </c>
      <c r="S2" s="3">
        <v>0</v>
      </c>
      <c r="T2" s="3">
        <v>0</v>
      </c>
      <c r="U2" s="3">
        <v>0</v>
      </c>
      <c r="V2" s="3">
        <v>0</v>
      </c>
      <c r="W2" s="3">
        <v>0</v>
      </c>
      <c r="X2" s="3">
        <v>0</v>
      </c>
      <c r="Y2" s="3">
        <v>0</v>
      </c>
      <c r="Z2" s="3">
        <v>0</v>
      </c>
      <c r="AA2" s="3">
        <v>0</v>
      </c>
      <c r="AB2" s="3">
        <v>0</v>
      </c>
    </row>
    <row r="3" spans="1:28" x14ac:dyDescent="0.3">
      <c r="A3" s="3">
        <v>2</v>
      </c>
      <c r="B3" s="3">
        <v>2</v>
      </c>
      <c r="C3" s="3" t="s">
        <v>718</v>
      </c>
      <c r="D3" s="3" t="s">
        <v>708</v>
      </c>
      <c r="E3" s="3">
        <v>0</v>
      </c>
      <c r="F3" s="26">
        <v>0</v>
      </c>
      <c r="G3" s="26">
        <v>0</v>
      </c>
      <c r="H3" s="3">
        <v>0</v>
      </c>
      <c r="I3" s="3">
        <v>0</v>
      </c>
      <c r="J3" s="3">
        <v>0</v>
      </c>
      <c r="K3" s="3">
        <v>0</v>
      </c>
      <c r="L3" s="3">
        <v>0</v>
      </c>
      <c r="M3" s="3">
        <v>0</v>
      </c>
      <c r="N3" s="3">
        <v>0</v>
      </c>
      <c r="O3" s="3">
        <v>0</v>
      </c>
      <c r="P3" s="3">
        <v>0</v>
      </c>
      <c r="Q3" s="3">
        <v>0</v>
      </c>
      <c r="S3" s="3">
        <v>0</v>
      </c>
      <c r="T3" s="3">
        <v>0</v>
      </c>
      <c r="U3" s="3">
        <v>0</v>
      </c>
      <c r="V3" s="3">
        <v>0</v>
      </c>
      <c r="W3" s="3">
        <v>0</v>
      </c>
      <c r="X3" s="3">
        <v>0</v>
      </c>
      <c r="Y3" s="3">
        <v>0</v>
      </c>
      <c r="Z3" s="3">
        <v>0</v>
      </c>
      <c r="AA3" s="3">
        <v>0</v>
      </c>
      <c r="AB3" s="3">
        <v>0</v>
      </c>
    </row>
    <row r="4" spans="1:28" x14ac:dyDescent="0.3">
      <c r="A4" s="3">
        <v>3</v>
      </c>
      <c r="B4" s="3">
        <v>4</v>
      </c>
      <c r="C4" s="3" t="s">
        <v>719</v>
      </c>
      <c r="D4" s="3" t="s">
        <v>709</v>
      </c>
      <c r="E4" s="3">
        <v>0</v>
      </c>
      <c r="F4" s="26" t="s">
        <v>360</v>
      </c>
      <c r="G4" s="26">
        <v>0</v>
      </c>
      <c r="H4" s="3">
        <v>0</v>
      </c>
      <c r="I4" s="3">
        <v>0</v>
      </c>
      <c r="J4" s="3">
        <v>0</v>
      </c>
      <c r="K4" s="3">
        <v>0</v>
      </c>
      <c r="L4" s="3">
        <v>0</v>
      </c>
      <c r="M4" s="3">
        <v>0</v>
      </c>
      <c r="N4" s="3">
        <v>0</v>
      </c>
      <c r="O4" s="3">
        <v>0</v>
      </c>
      <c r="P4" s="3">
        <v>0</v>
      </c>
      <c r="Q4" s="3">
        <v>0</v>
      </c>
      <c r="S4" s="3">
        <v>0</v>
      </c>
      <c r="T4" s="3">
        <v>0</v>
      </c>
      <c r="U4" s="3">
        <v>0</v>
      </c>
      <c r="V4" s="3">
        <v>0</v>
      </c>
      <c r="W4" s="3">
        <v>0</v>
      </c>
      <c r="X4" s="3">
        <v>0</v>
      </c>
      <c r="Y4" s="3">
        <v>0</v>
      </c>
      <c r="Z4" s="3">
        <v>0</v>
      </c>
      <c r="AA4" s="3">
        <v>0</v>
      </c>
      <c r="AB4" s="3">
        <v>0</v>
      </c>
    </row>
    <row r="5" spans="1:28" x14ac:dyDescent="0.3">
      <c r="A5" s="3">
        <v>4</v>
      </c>
      <c r="B5" s="3">
        <v>8</v>
      </c>
      <c r="C5" s="3" t="s">
        <v>720</v>
      </c>
      <c r="D5" s="3" t="s">
        <v>710</v>
      </c>
      <c r="E5" s="3">
        <v>0</v>
      </c>
      <c r="F5" s="26" t="s">
        <v>361</v>
      </c>
      <c r="G5" s="26">
        <v>0</v>
      </c>
      <c r="H5" s="3">
        <v>0</v>
      </c>
      <c r="I5" s="3">
        <v>0</v>
      </c>
      <c r="J5" s="3">
        <v>0</v>
      </c>
      <c r="K5" s="3">
        <v>0</v>
      </c>
      <c r="L5" s="3">
        <v>0</v>
      </c>
      <c r="M5" s="3">
        <v>0</v>
      </c>
      <c r="N5" s="3">
        <v>0</v>
      </c>
      <c r="O5" s="3">
        <v>0</v>
      </c>
      <c r="P5" s="3">
        <v>0</v>
      </c>
      <c r="Q5" s="3">
        <v>0</v>
      </c>
      <c r="S5" s="3">
        <v>0</v>
      </c>
      <c r="T5" s="3">
        <v>0</v>
      </c>
      <c r="U5" s="3">
        <v>0</v>
      </c>
      <c r="V5" s="3">
        <v>0</v>
      </c>
      <c r="W5" s="3">
        <v>0</v>
      </c>
      <c r="X5" s="3">
        <v>0</v>
      </c>
      <c r="Y5" s="3">
        <v>0</v>
      </c>
      <c r="Z5" s="3">
        <v>0</v>
      </c>
      <c r="AA5" s="3">
        <v>0</v>
      </c>
      <c r="AB5" s="3">
        <v>0</v>
      </c>
    </row>
    <row r="6" spans="1:28" x14ac:dyDescent="0.3">
      <c r="A6" s="3">
        <v>5</v>
      </c>
      <c r="B6" s="3">
        <v>16</v>
      </c>
      <c r="C6" s="3" t="s">
        <v>721</v>
      </c>
      <c r="D6" s="3" t="s">
        <v>711</v>
      </c>
      <c r="E6" s="3">
        <v>0</v>
      </c>
      <c r="F6" s="26" t="s">
        <v>362</v>
      </c>
      <c r="G6" s="26">
        <v>0</v>
      </c>
      <c r="H6" s="3">
        <v>0</v>
      </c>
      <c r="I6" s="3">
        <v>0</v>
      </c>
      <c r="J6" s="3">
        <v>0</v>
      </c>
      <c r="K6" s="3">
        <v>0</v>
      </c>
      <c r="L6" s="3">
        <v>0</v>
      </c>
      <c r="M6" s="3">
        <v>0</v>
      </c>
      <c r="N6" s="3">
        <v>0</v>
      </c>
      <c r="O6" s="3">
        <v>0</v>
      </c>
      <c r="P6" s="3">
        <v>0</v>
      </c>
      <c r="Q6" s="3">
        <v>0</v>
      </c>
      <c r="S6" s="3">
        <v>0</v>
      </c>
      <c r="T6" s="3">
        <v>0</v>
      </c>
      <c r="U6" s="3">
        <v>0</v>
      </c>
      <c r="V6" s="3">
        <v>0</v>
      </c>
      <c r="W6" s="3">
        <v>0</v>
      </c>
      <c r="X6" s="3">
        <v>0</v>
      </c>
      <c r="Y6" s="3">
        <v>0</v>
      </c>
      <c r="Z6" s="3">
        <v>0</v>
      </c>
      <c r="AA6" s="3">
        <v>0</v>
      </c>
      <c r="AB6" s="3">
        <v>0</v>
      </c>
    </row>
    <row r="7" spans="1:28" x14ac:dyDescent="0.3">
      <c r="A7" s="3">
        <v>6</v>
      </c>
      <c r="B7" s="3">
        <v>32</v>
      </c>
      <c r="C7" s="3" t="s">
        <v>722</v>
      </c>
      <c r="D7" s="3" t="s">
        <v>712</v>
      </c>
      <c r="E7" s="3">
        <v>0</v>
      </c>
      <c r="F7" s="26" t="s">
        <v>290</v>
      </c>
      <c r="G7" s="26" t="s">
        <v>727</v>
      </c>
      <c r="H7" s="3">
        <v>500</v>
      </c>
      <c r="I7" s="3">
        <v>7000</v>
      </c>
      <c r="J7" s="3">
        <v>0</v>
      </c>
      <c r="K7" s="3">
        <v>0</v>
      </c>
      <c r="L7" s="3">
        <v>0</v>
      </c>
      <c r="M7" s="3">
        <v>0</v>
      </c>
      <c r="N7" s="3">
        <v>0</v>
      </c>
      <c r="O7" s="3">
        <v>0</v>
      </c>
      <c r="P7" s="3">
        <v>0</v>
      </c>
      <c r="Q7" s="3">
        <v>0</v>
      </c>
      <c r="S7" s="3" t="s">
        <v>737</v>
      </c>
      <c r="T7" s="3" t="s">
        <v>738</v>
      </c>
      <c r="U7" s="3">
        <v>0</v>
      </c>
      <c r="V7" s="3">
        <v>0</v>
      </c>
      <c r="W7" s="3">
        <v>0</v>
      </c>
      <c r="X7" s="3">
        <v>0</v>
      </c>
      <c r="Y7" s="3">
        <v>0</v>
      </c>
      <c r="Z7" s="3">
        <v>0</v>
      </c>
      <c r="AA7" s="3">
        <v>0</v>
      </c>
      <c r="AB7" s="3">
        <v>0</v>
      </c>
    </row>
    <row r="8" spans="1:28" x14ac:dyDescent="0.3">
      <c r="A8" s="3">
        <v>7</v>
      </c>
      <c r="B8" s="3">
        <v>64</v>
      </c>
      <c r="C8" s="3" t="s">
        <v>723</v>
      </c>
      <c r="D8" s="3" t="s">
        <v>713</v>
      </c>
      <c r="E8" s="3">
        <v>0</v>
      </c>
      <c r="F8" s="26" t="s">
        <v>292</v>
      </c>
      <c r="G8" s="26" t="s">
        <v>729</v>
      </c>
      <c r="H8" s="3">
        <v>1</v>
      </c>
      <c r="I8" s="3">
        <v>0</v>
      </c>
      <c r="J8" s="3">
        <v>0</v>
      </c>
      <c r="K8" s="3">
        <v>0</v>
      </c>
      <c r="L8" s="3">
        <v>0</v>
      </c>
      <c r="M8" s="3">
        <v>0</v>
      </c>
      <c r="N8" s="3">
        <v>0</v>
      </c>
      <c r="O8" s="3">
        <v>0</v>
      </c>
      <c r="P8" s="3">
        <v>0</v>
      </c>
      <c r="Q8" s="3">
        <v>0</v>
      </c>
      <c r="S8" s="3" t="s">
        <v>689</v>
      </c>
      <c r="T8" s="3">
        <v>0</v>
      </c>
      <c r="U8" s="3">
        <v>0</v>
      </c>
      <c r="V8" s="3">
        <v>0</v>
      </c>
      <c r="W8" s="3">
        <v>0</v>
      </c>
      <c r="X8" s="3">
        <v>0</v>
      </c>
      <c r="Y8" s="3">
        <v>0</v>
      </c>
      <c r="Z8" s="3">
        <v>0</v>
      </c>
      <c r="AA8" s="3">
        <v>0</v>
      </c>
      <c r="AB8" s="3">
        <v>0</v>
      </c>
    </row>
    <row r="9" spans="1:28" x14ac:dyDescent="0.3">
      <c r="A9" s="3">
        <v>8</v>
      </c>
      <c r="B9" s="3">
        <v>128</v>
      </c>
      <c r="C9" s="3" t="s">
        <v>724</v>
      </c>
      <c r="D9" s="3" t="s">
        <v>714</v>
      </c>
      <c r="E9" s="3">
        <v>0</v>
      </c>
      <c r="F9" s="26" t="s">
        <v>294</v>
      </c>
      <c r="G9" s="26" t="s">
        <v>736</v>
      </c>
      <c r="H9" s="3">
        <v>0</v>
      </c>
      <c r="I9" s="3">
        <v>0</v>
      </c>
      <c r="J9" s="3">
        <v>0</v>
      </c>
      <c r="K9" s="3">
        <v>0</v>
      </c>
      <c r="L9" s="3">
        <v>0</v>
      </c>
      <c r="M9" s="3">
        <v>0</v>
      </c>
      <c r="N9" s="3">
        <v>0</v>
      </c>
      <c r="O9" s="3">
        <v>0</v>
      </c>
      <c r="P9" s="3">
        <v>0</v>
      </c>
      <c r="Q9" s="3">
        <v>0</v>
      </c>
      <c r="S9" s="3">
        <v>0</v>
      </c>
      <c r="T9" s="3">
        <v>0</v>
      </c>
      <c r="U9" s="3">
        <v>0</v>
      </c>
      <c r="V9" s="3">
        <v>0</v>
      </c>
      <c r="W9" s="3">
        <v>0</v>
      </c>
      <c r="X9" s="3">
        <v>0</v>
      </c>
      <c r="Y9" s="3">
        <v>0</v>
      </c>
      <c r="Z9" s="3">
        <v>0</v>
      </c>
      <c r="AA9" s="3">
        <v>0</v>
      </c>
      <c r="AB9" s="3">
        <v>0</v>
      </c>
    </row>
    <row r="10" spans="1:28" x14ac:dyDescent="0.3">
      <c r="A10" s="3">
        <v>9</v>
      </c>
      <c r="B10" s="3">
        <v>256</v>
      </c>
      <c r="C10" s="3" t="s">
        <v>725</v>
      </c>
      <c r="D10" s="3" t="s">
        <v>715</v>
      </c>
      <c r="E10" s="3">
        <v>0</v>
      </c>
      <c r="F10" s="26" t="s">
        <v>364</v>
      </c>
      <c r="G10" s="26">
        <v>0</v>
      </c>
      <c r="H10" s="3">
        <v>0</v>
      </c>
      <c r="I10" s="3">
        <v>0</v>
      </c>
      <c r="J10" s="3">
        <v>0</v>
      </c>
      <c r="K10" s="3">
        <v>0</v>
      </c>
      <c r="L10" s="3">
        <v>0</v>
      </c>
      <c r="M10" s="3">
        <v>0</v>
      </c>
      <c r="N10" s="3">
        <v>0</v>
      </c>
      <c r="O10" s="3">
        <v>0</v>
      </c>
      <c r="P10" s="3">
        <v>0</v>
      </c>
      <c r="Q10" s="3">
        <v>0</v>
      </c>
      <c r="S10" s="3">
        <v>0</v>
      </c>
      <c r="T10" s="3">
        <v>0</v>
      </c>
      <c r="U10" s="3">
        <v>0</v>
      </c>
      <c r="V10" s="3">
        <v>0</v>
      </c>
      <c r="W10" s="3">
        <v>0</v>
      </c>
      <c r="X10" s="3">
        <v>0</v>
      </c>
      <c r="Y10" s="3">
        <v>0</v>
      </c>
      <c r="Z10" s="3">
        <v>0</v>
      </c>
      <c r="AA10" s="3">
        <v>0</v>
      </c>
      <c r="AB10" s="3">
        <v>0</v>
      </c>
    </row>
    <row r="11" spans="1:28" x14ac:dyDescent="0.3">
      <c r="A11" s="3">
        <v>10</v>
      </c>
      <c r="B11" s="3">
        <v>512</v>
      </c>
      <c r="C11" s="3" t="s">
        <v>726</v>
      </c>
      <c r="D11" s="3" t="s">
        <v>716</v>
      </c>
      <c r="E11" s="3">
        <v>0</v>
      </c>
      <c r="F11" s="26" t="s">
        <v>363</v>
      </c>
      <c r="G11" s="26">
        <v>0</v>
      </c>
      <c r="H11" s="3">
        <v>0</v>
      </c>
      <c r="I11" s="3">
        <v>0</v>
      </c>
      <c r="J11" s="3">
        <v>0</v>
      </c>
      <c r="K11" s="3">
        <v>0</v>
      </c>
      <c r="L11" s="3">
        <v>0</v>
      </c>
      <c r="M11" s="3">
        <v>0</v>
      </c>
      <c r="N11" s="3">
        <v>0</v>
      </c>
      <c r="O11" s="3">
        <v>0</v>
      </c>
      <c r="P11" s="3">
        <v>0</v>
      </c>
      <c r="Q11" s="3">
        <v>0</v>
      </c>
      <c r="S11" s="3">
        <v>0</v>
      </c>
      <c r="T11" s="3">
        <v>0</v>
      </c>
      <c r="U11" s="3">
        <v>0</v>
      </c>
      <c r="V11" s="3">
        <v>0</v>
      </c>
      <c r="W11" s="3">
        <v>0</v>
      </c>
      <c r="X11" s="3">
        <v>0</v>
      </c>
      <c r="Y11" s="3">
        <v>0</v>
      </c>
      <c r="Z11" s="3">
        <v>0</v>
      </c>
      <c r="AA11" s="3">
        <v>0</v>
      </c>
      <c r="AB11" s="3">
        <v>0</v>
      </c>
    </row>
  </sheetData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254149-1654-4C74-8782-62A50C01C2EB}">
  <sheetPr codeName="Sheet8"/>
  <dimension ref="A1:J8"/>
  <sheetViews>
    <sheetView workbookViewId="0">
      <selection activeCell="C9" sqref="C9"/>
    </sheetView>
  </sheetViews>
  <sheetFormatPr defaultRowHeight="12" x14ac:dyDescent="0.3"/>
  <cols>
    <col min="1" max="2" width="9" style="3"/>
    <col min="3" max="3" width="13.375" style="3" bestFit="1" customWidth="1"/>
    <col min="4" max="4" width="9" style="3"/>
    <col min="5" max="5" width="11.375" style="3" bestFit="1" customWidth="1"/>
    <col min="6" max="6" width="2.625" style="17" customWidth="1"/>
    <col min="7" max="7" width="9" style="1"/>
    <col min="8" max="8" width="15.625" style="1" bestFit="1" customWidth="1"/>
    <col min="9" max="9" width="17.25" style="1" bestFit="1" customWidth="1"/>
    <col min="10" max="16384" width="9" style="1"/>
  </cols>
  <sheetData>
    <row r="1" spans="1:10" x14ac:dyDescent="0.3">
      <c r="A1" s="3" t="s">
        <v>1042</v>
      </c>
      <c r="B1" s="3" t="s">
        <v>1043</v>
      </c>
      <c r="C1" s="3" t="s">
        <v>1044</v>
      </c>
      <c r="D1" s="3" t="s">
        <v>1045</v>
      </c>
      <c r="E1" s="3" t="s">
        <v>1046</v>
      </c>
    </row>
    <row r="2" spans="1:10" x14ac:dyDescent="0.3">
      <c r="A2" s="3" t="s">
        <v>1047</v>
      </c>
      <c r="B2" s="3" t="s">
        <v>1048</v>
      </c>
      <c r="C2" s="3" t="s">
        <v>1049</v>
      </c>
      <c r="D2" s="3">
        <v>1</v>
      </c>
      <c r="E2" s="3">
        <v>0</v>
      </c>
      <c r="H2" s="30" t="s">
        <v>100</v>
      </c>
      <c r="I2" s="31"/>
      <c r="J2" s="32"/>
    </row>
    <row r="3" spans="1:10" x14ac:dyDescent="0.3">
      <c r="H3" s="2" t="s">
        <v>101</v>
      </c>
      <c r="I3" s="2" t="s">
        <v>102</v>
      </c>
      <c r="J3" s="2" t="s">
        <v>103</v>
      </c>
    </row>
    <row r="4" spans="1:10" x14ac:dyDescent="0.3">
      <c r="H4" s="2" t="s">
        <v>1050</v>
      </c>
      <c r="I4" s="6" t="s">
        <v>1051</v>
      </c>
      <c r="J4" s="6"/>
    </row>
    <row r="5" spans="1:10" x14ac:dyDescent="0.3">
      <c r="H5" s="2" t="s">
        <v>1052</v>
      </c>
      <c r="I5" s="6" t="s">
        <v>1053</v>
      </c>
      <c r="J5" s="6"/>
    </row>
    <row r="6" spans="1:10" x14ac:dyDescent="0.3">
      <c r="H6" s="2" t="s">
        <v>1054</v>
      </c>
      <c r="I6" s="6" t="s">
        <v>1055</v>
      </c>
      <c r="J6" s="6"/>
    </row>
    <row r="7" spans="1:10" x14ac:dyDescent="0.3">
      <c r="H7" s="2" t="s">
        <v>1056</v>
      </c>
      <c r="I7" s="6" t="s">
        <v>1057</v>
      </c>
      <c r="J7" s="6"/>
    </row>
    <row r="8" spans="1:10" x14ac:dyDescent="0.3">
      <c r="H8" s="2" t="s">
        <v>1058</v>
      </c>
      <c r="I8" s="6" t="s">
        <v>1059</v>
      </c>
      <c r="J8" s="6"/>
    </row>
  </sheetData>
  <mergeCells count="1">
    <mergeCell ref="H2:J2"/>
  </mergeCells>
  <phoneticPr fontId="2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F12FAE-2807-46B7-8D70-68D2618FCC09}">
  <sheetPr codeName="Sheet9"/>
  <dimension ref="A1:I35"/>
  <sheetViews>
    <sheetView tabSelected="1" workbookViewId="0">
      <selection activeCell="J32" sqref="J32"/>
    </sheetView>
  </sheetViews>
  <sheetFormatPr defaultRowHeight="12" x14ac:dyDescent="0.3"/>
  <cols>
    <col min="1" max="1" width="3.5" style="3" bestFit="1" customWidth="1"/>
    <col min="2" max="2" width="9.125" style="3" bestFit="1" customWidth="1"/>
    <col min="3" max="3" width="7.5" style="3" bestFit="1" customWidth="1"/>
    <col min="4" max="4" width="4.375" style="3" bestFit="1" customWidth="1"/>
    <col min="5" max="5" width="10.125" style="3" bestFit="1" customWidth="1"/>
    <col min="6" max="6" width="8" style="3" bestFit="1" customWidth="1"/>
    <col min="7" max="7" width="11.75" style="3" bestFit="1" customWidth="1"/>
    <col min="8" max="8" width="11.25" style="3" bestFit="1" customWidth="1"/>
    <col min="9" max="9" width="2.125" style="17" customWidth="1"/>
    <col min="10" max="16384" width="9" style="1"/>
  </cols>
  <sheetData>
    <row r="1" spans="1:8" x14ac:dyDescent="0.3">
      <c r="A1" s="3" t="s">
        <v>1060</v>
      </c>
      <c r="B1" s="3" t="s">
        <v>1061</v>
      </c>
      <c r="C1" s="3" t="s">
        <v>1062</v>
      </c>
      <c r="D1" s="3" t="s">
        <v>1063</v>
      </c>
      <c r="E1" s="3" t="s">
        <v>1064</v>
      </c>
      <c r="F1" s="3" t="s">
        <v>1065</v>
      </c>
      <c r="G1" s="3" t="s">
        <v>1066</v>
      </c>
      <c r="H1" s="3" t="s">
        <v>1067</v>
      </c>
    </row>
    <row r="2" spans="1:8" x14ac:dyDescent="0.3">
      <c r="A2" s="3">
        <v>1</v>
      </c>
      <c r="B2" s="3">
        <v>1</v>
      </c>
      <c r="C2" s="3">
        <v>1</v>
      </c>
      <c r="D2" s="3">
        <v>1</v>
      </c>
      <c r="E2" s="3">
        <v>2</v>
      </c>
      <c r="G2" s="6" t="s">
        <v>155</v>
      </c>
      <c r="H2" s="3">
        <v>1</v>
      </c>
    </row>
    <row r="3" spans="1:8" x14ac:dyDescent="0.3">
      <c r="A3" s="3">
        <v>2</v>
      </c>
      <c r="B3" s="3">
        <v>1</v>
      </c>
      <c r="C3" s="3">
        <v>1</v>
      </c>
      <c r="D3" s="3">
        <v>1</v>
      </c>
      <c r="E3" s="3">
        <v>2</v>
      </c>
      <c r="G3" s="6" t="s">
        <v>156</v>
      </c>
      <c r="H3" s="3">
        <v>1</v>
      </c>
    </row>
    <row r="4" spans="1:8" x14ac:dyDescent="0.3">
      <c r="A4" s="3">
        <v>3</v>
      </c>
      <c r="B4" s="3">
        <v>1</v>
      </c>
      <c r="C4" s="3">
        <v>1</v>
      </c>
      <c r="D4" s="3">
        <v>1</v>
      </c>
      <c r="E4" s="3">
        <v>2</v>
      </c>
      <c r="G4" s="6" t="s">
        <v>740</v>
      </c>
      <c r="H4" s="3">
        <v>1</v>
      </c>
    </row>
    <row r="5" spans="1:8" x14ac:dyDescent="0.3">
      <c r="A5" s="3">
        <v>4</v>
      </c>
      <c r="B5" s="3">
        <v>1</v>
      </c>
      <c r="C5" s="3">
        <v>1</v>
      </c>
      <c r="D5" s="3">
        <v>1</v>
      </c>
      <c r="E5" s="3">
        <v>2</v>
      </c>
      <c r="G5" s="6" t="s">
        <v>739</v>
      </c>
      <c r="H5" s="3">
        <v>1</v>
      </c>
    </row>
    <row r="6" spans="1:8" x14ac:dyDescent="0.3">
      <c r="A6" s="3">
        <v>5</v>
      </c>
      <c r="B6" s="3">
        <v>1</v>
      </c>
      <c r="C6" s="3">
        <v>1</v>
      </c>
      <c r="D6" s="3">
        <v>1</v>
      </c>
      <c r="E6" s="3">
        <v>2</v>
      </c>
      <c r="G6" s="6" t="s">
        <v>741</v>
      </c>
      <c r="H6" s="3">
        <v>1</v>
      </c>
    </row>
    <row r="7" spans="1:8" x14ac:dyDescent="0.3">
      <c r="A7" s="3">
        <v>6</v>
      </c>
      <c r="B7" s="3">
        <v>1</v>
      </c>
      <c r="C7" s="3">
        <v>1</v>
      </c>
      <c r="D7" s="3">
        <v>1</v>
      </c>
      <c r="E7" s="3">
        <v>2</v>
      </c>
      <c r="G7" s="6" t="s">
        <v>742</v>
      </c>
      <c r="H7" s="3">
        <v>1</v>
      </c>
    </row>
    <row r="8" spans="1:8" x14ac:dyDescent="0.3">
      <c r="A8" s="3">
        <v>7</v>
      </c>
      <c r="B8" s="3">
        <v>1</v>
      </c>
      <c r="C8" s="3">
        <v>1</v>
      </c>
      <c r="D8" s="3">
        <v>1</v>
      </c>
      <c r="E8" s="3">
        <v>2</v>
      </c>
      <c r="G8" s="6" t="s">
        <v>743</v>
      </c>
      <c r="H8" s="3">
        <v>1</v>
      </c>
    </row>
    <row r="9" spans="1:8" x14ac:dyDescent="0.3">
      <c r="A9" s="3">
        <v>8</v>
      </c>
      <c r="B9" s="3">
        <v>1</v>
      </c>
      <c r="C9" s="3">
        <v>1</v>
      </c>
      <c r="D9" s="3">
        <v>1</v>
      </c>
      <c r="E9" s="3">
        <v>2</v>
      </c>
      <c r="G9" s="6" t="s">
        <v>190</v>
      </c>
      <c r="H9" s="3">
        <v>1</v>
      </c>
    </row>
    <row r="10" spans="1:8" x14ac:dyDescent="0.3">
      <c r="A10" s="3">
        <v>9</v>
      </c>
      <c r="B10" s="3">
        <v>1</v>
      </c>
      <c r="C10" s="3">
        <v>1</v>
      </c>
      <c r="D10" s="3">
        <v>1</v>
      </c>
      <c r="E10" s="3">
        <v>2</v>
      </c>
      <c r="G10" s="6" t="s">
        <v>744</v>
      </c>
      <c r="H10" s="3">
        <v>1</v>
      </c>
    </row>
    <row r="11" spans="1:8" x14ac:dyDescent="0.3">
      <c r="A11" s="3">
        <v>10</v>
      </c>
      <c r="B11" s="3">
        <v>1</v>
      </c>
      <c r="C11" s="3">
        <v>1</v>
      </c>
      <c r="D11" s="3">
        <v>1</v>
      </c>
      <c r="E11" s="3">
        <v>2</v>
      </c>
      <c r="G11" s="6" t="s">
        <v>745</v>
      </c>
      <c r="H11" s="3">
        <v>1</v>
      </c>
    </row>
    <row r="12" spans="1:8" x14ac:dyDescent="0.3">
      <c r="A12" s="3">
        <v>11</v>
      </c>
      <c r="B12" s="3">
        <v>1</v>
      </c>
      <c r="C12" s="3">
        <v>1</v>
      </c>
      <c r="D12" s="3">
        <v>1</v>
      </c>
      <c r="E12" s="3">
        <v>2</v>
      </c>
      <c r="G12" s="6" t="s">
        <v>193</v>
      </c>
      <c r="H12" s="3">
        <v>1</v>
      </c>
    </row>
    <row r="13" spans="1:8" x14ac:dyDescent="0.3">
      <c r="A13" s="3">
        <v>12</v>
      </c>
      <c r="B13" s="3">
        <v>1</v>
      </c>
      <c r="C13" s="3">
        <v>1</v>
      </c>
      <c r="D13" s="3">
        <v>1</v>
      </c>
      <c r="E13" s="3">
        <v>2</v>
      </c>
      <c r="G13" s="6" t="s">
        <v>194</v>
      </c>
      <c r="H13" s="3">
        <v>1</v>
      </c>
    </row>
    <row r="14" spans="1:8" x14ac:dyDescent="0.3">
      <c r="A14" s="3">
        <v>13</v>
      </c>
      <c r="B14" s="3">
        <v>1</v>
      </c>
      <c r="C14" s="3">
        <v>1</v>
      </c>
      <c r="D14" s="3">
        <v>1</v>
      </c>
      <c r="E14" s="3">
        <v>2</v>
      </c>
      <c r="G14" s="6" t="s">
        <v>195</v>
      </c>
      <c r="H14" s="3">
        <v>1</v>
      </c>
    </row>
    <row r="15" spans="1:8" x14ac:dyDescent="0.3">
      <c r="A15" s="3">
        <v>14</v>
      </c>
      <c r="B15" s="3">
        <v>1</v>
      </c>
      <c r="C15" s="3">
        <v>1</v>
      </c>
      <c r="D15" s="3">
        <v>1</v>
      </c>
      <c r="E15" s="3">
        <v>2</v>
      </c>
      <c r="G15" s="6" t="s">
        <v>196</v>
      </c>
      <c r="H15" s="3">
        <v>1</v>
      </c>
    </row>
    <row r="16" spans="1:8" x14ac:dyDescent="0.3">
      <c r="A16" s="3">
        <v>15</v>
      </c>
      <c r="B16" s="3">
        <v>1</v>
      </c>
      <c r="C16" s="3">
        <v>1</v>
      </c>
      <c r="D16" s="3">
        <v>1</v>
      </c>
      <c r="E16" s="3">
        <v>2</v>
      </c>
      <c r="G16" s="6" t="s">
        <v>197</v>
      </c>
      <c r="H16" s="3">
        <v>1</v>
      </c>
    </row>
    <row r="17" spans="1:8" x14ac:dyDescent="0.3">
      <c r="A17" s="3">
        <v>16</v>
      </c>
      <c r="B17" s="3">
        <v>1</v>
      </c>
      <c r="C17" s="3">
        <v>1</v>
      </c>
      <c r="D17" s="3">
        <v>1</v>
      </c>
      <c r="E17" s="3">
        <v>2</v>
      </c>
      <c r="G17" s="6" t="s">
        <v>198</v>
      </c>
      <c r="H17" s="3">
        <v>1</v>
      </c>
    </row>
    <row r="18" spans="1:8" x14ac:dyDescent="0.3">
      <c r="A18" s="3">
        <v>17</v>
      </c>
      <c r="B18" s="3">
        <v>1</v>
      </c>
      <c r="C18" s="3">
        <v>1</v>
      </c>
      <c r="D18" s="3">
        <v>1</v>
      </c>
      <c r="E18" s="3">
        <v>2</v>
      </c>
      <c r="G18" s="6" t="s">
        <v>199</v>
      </c>
      <c r="H18" s="3">
        <v>1</v>
      </c>
    </row>
    <row r="19" spans="1:8" x14ac:dyDescent="0.3">
      <c r="A19" s="3">
        <v>18</v>
      </c>
      <c r="B19" s="3">
        <v>1</v>
      </c>
      <c r="C19" s="3">
        <v>1</v>
      </c>
      <c r="D19" s="3">
        <v>1</v>
      </c>
      <c r="E19" s="3">
        <v>2</v>
      </c>
      <c r="G19" s="6" t="s">
        <v>200</v>
      </c>
      <c r="H19" s="3">
        <v>1</v>
      </c>
    </row>
    <row r="20" spans="1:8" x14ac:dyDescent="0.3">
      <c r="A20" s="3">
        <v>19</v>
      </c>
      <c r="B20" s="3">
        <v>1</v>
      </c>
      <c r="C20" s="3">
        <v>1</v>
      </c>
      <c r="D20" s="3">
        <v>1</v>
      </c>
      <c r="E20" s="3">
        <v>2</v>
      </c>
      <c r="G20" s="6" t="s">
        <v>201</v>
      </c>
      <c r="H20" s="3">
        <v>1</v>
      </c>
    </row>
    <row r="21" spans="1:8" x14ac:dyDescent="0.3">
      <c r="A21" s="3">
        <v>20</v>
      </c>
      <c r="B21" s="3">
        <v>1</v>
      </c>
      <c r="C21" s="3">
        <v>1</v>
      </c>
      <c r="D21" s="3">
        <v>1</v>
      </c>
      <c r="E21" s="3">
        <v>2</v>
      </c>
      <c r="G21" s="6" t="s">
        <v>202</v>
      </c>
      <c r="H21" s="3">
        <v>1</v>
      </c>
    </row>
    <row r="22" spans="1:8" x14ac:dyDescent="0.3">
      <c r="A22" s="3">
        <v>21</v>
      </c>
      <c r="B22" s="3">
        <v>1</v>
      </c>
      <c r="C22" s="3">
        <v>1</v>
      </c>
      <c r="D22" s="3">
        <v>1</v>
      </c>
      <c r="E22" s="3">
        <v>2</v>
      </c>
      <c r="G22" s="6" t="s">
        <v>746</v>
      </c>
      <c r="H22" s="3">
        <v>1</v>
      </c>
    </row>
    <row r="23" spans="1:8" x14ac:dyDescent="0.3">
      <c r="A23" s="3">
        <v>22</v>
      </c>
      <c r="B23" s="3">
        <v>1</v>
      </c>
      <c r="C23" s="3">
        <v>1</v>
      </c>
      <c r="D23" s="3">
        <v>1</v>
      </c>
      <c r="E23" s="3">
        <v>2</v>
      </c>
      <c r="G23" s="6" t="s">
        <v>747</v>
      </c>
      <c r="H23" s="3">
        <v>1</v>
      </c>
    </row>
    <row r="24" spans="1:8" x14ac:dyDescent="0.3">
      <c r="A24" s="3">
        <v>23</v>
      </c>
      <c r="B24" s="3">
        <v>1</v>
      </c>
      <c r="C24" s="3">
        <v>1</v>
      </c>
      <c r="D24" s="3">
        <v>1</v>
      </c>
      <c r="E24" s="3">
        <v>2</v>
      </c>
      <c r="G24" s="6" t="s">
        <v>204</v>
      </c>
      <c r="H24" s="3">
        <v>1</v>
      </c>
    </row>
    <row r="25" spans="1:8" x14ac:dyDescent="0.3">
      <c r="A25" s="3">
        <v>24</v>
      </c>
      <c r="B25" s="3">
        <v>1</v>
      </c>
      <c r="C25" s="3">
        <v>1</v>
      </c>
      <c r="D25" s="3">
        <v>1</v>
      </c>
      <c r="E25" s="3">
        <v>2</v>
      </c>
      <c r="G25" s="6" t="s">
        <v>205</v>
      </c>
      <c r="H25" s="3">
        <v>1</v>
      </c>
    </row>
    <row r="26" spans="1:8" x14ac:dyDescent="0.3">
      <c r="A26" s="3">
        <v>25</v>
      </c>
      <c r="B26" s="3">
        <v>1</v>
      </c>
      <c r="C26" s="3">
        <v>1</v>
      </c>
      <c r="D26" s="3">
        <v>1</v>
      </c>
      <c r="E26" s="3">
        <v>2</v>
      </c>
      <c r="G26" s="6" t="s">
        <v>206</v>
      </c>
      <c r="H26" s="3">
        <v>1</v>
      </c>
    </row>
    <row r="27" spans="1:8" x14ac:dyDescent="0.3">
      <c r="A27" s="3">
        <v>26</v>
      </c>
      <c r="B27" s="3">
        <v>1</v>
      </c>
      <c r="C27" s="3">
        <v>1</v>
      </c>
      <c r="D27" s="3">
        <v>1</v>
      </c>
      <c r="E27" s="3">
        <v>2</v>
      </c>
      <c r="G27" s="6" t="s">
        <v>207</v>
      </c>
      <c r="H27" s="3">
        <v>1</v>
      </c>
    </row>
    <row r="28" spans="1:8" x14ac:dyDescent="0.3">
      <c r="A28" s="3">
        <v>27</v>
      </c>
      <c r="B28" s="3">
        <v>1</v>
      </c>
      <c r="C28" s="3">
        <v>1</v>
      </c>
      <c r="D28" s="3">
        <v>1</v>
      </c>
      <c r="E28" s="3">
        <v>2</v>
      </c>
      <c r="G28" s="6" t="s">
        <v>208</v>
      </c>
      <c r="H28" s="3">
        <v>1</v>
      </c>
    </row>
    <row r="29" spans="1:8" x14ac:dyDescent="0.3">
      <c r="A29" s="3">
        <v>28</v>
      </c>
      <c r="B29" s="3">
        <v>1</v>
      </c>
      <c r="C29" s="3">
        <v>1</v>
      </c>
      <c r="D29" s="3">
        <v>1</v>
      </c>
      <c r="E29" s="3">
        <v>2</v>
      </c>
      <c r="G29" s="6" t="s">
        <v>209</v>
      </c>
      <c r="H29" s="3">
        <v>1</v>
      </c>
    </row>
    <row r="30" spans="1:8" x14ac:dyDescent="0.3">
      <c r="A30" s="3">
        <v>29</v>
      </c>
      <c r="B30" s="3">
        <v>1</v>
      </c>
      <c r="C30" s="3">
        <v>1</v>
      </c>
      <c r="D30" s="3">
        <v>1</v>
      </c>
      <c r="E30" s="3">
        <v>2</v>
      </c>
      <c r="G30" s="6" t="s">
        <v>730</v>
      </c>
      <c r="H30" s="3">
        <v>1</v>
      </c>
    </row>
    <row r="31" spans="1:8" x14ac:dyDescent="0.3">
      <c r="A31" s="3">
        <v>30</v>
      </c>
      <c r="B31" s="3">
        <v>1</v>
      </c>
      <c r="C31" s="3">
        <v>1</v>
      </c>
      <c r="D31" s="3">
        <v>1</v>
      </c>
      <c r="E31" s="3">
        <v>2</v>
      </c>
      <c r="G31" s="6" t="s">
        <v>733</v>
      </c>
      <c r="H31" s="3">
        <v>1</v>
      </c>
    </row>
    <row r="32" spans="1:8" x14ac:dyDescent="0.3">
      <c r="A32" s="3">
        <v>31</v>
      </c>
      <c r="B32" s="3">
        <v>1</v>
      </c>
      <c r="C32" s="3">
        <v>1</v>
      </c>
      <c r="D32" s="3">
        <v>1</v>
      </c>
      <c r="E32" s="3">
        <v>2</v>
      </c>
      <c r="G32" s="6" t="s">
        <v>274</v>
      </c>
      <c r="H32" s="3">
        <v>1</v>
      </c>
    </row>
    <row r="33" spans="1:8" x14ac:dyDescent="0.3">
      <c r="A33" s="3">
        <v>32</v>
      </c>
      <c r="B33" s="3">
        <v>1</v>
      </c>
      <c r="C33" s="3">
        <v>1</v>
      </c>
      <c r="D33" s="3">
        <v>1</v>
      </c>
      <c r="E33" s="3">
        <v>2</v>
      </c>
      <c r="G33" s="6" t="s">
        <v>275</v>
      </c>
      <c r="H33" s="3">
        <v>1</v>
      </c>
    </row>
    <row r="34" spans="1:8" x14ac:dyDescent="0.3">
      <c r="A34" s="3">
        <v>33</v>
      </c>
      <c r="B34" s="3">
        <v>1</v>
      </c>
      <c r="C34" s="3">
        <v>1</v>
      </c>
      <c r="D34" s="3">
        <v>1</v>
      </c>
      <c r="E34" s="3">
        <v>2</v>
      </c>
      <c r="G34" s="6" t="s">
        <v>276</v>
      </c>
      <c r="H34" s="3">
        <v>1</v>
      </c>
    </row>
    <row r="35" spans="1:8" x14ac:dyDescent="0.3">
      <c r="A35" s="3">
        <v>34</v>
      </c>
      <c r="B35" s="3">
        <v>1</v>
      </c>
      <c r="C35" s="3">
        <v>1</v>
      </c>
      <c r="D35" s="3">
        <v>1</v>
      </c>
      <c r="E35" s="3">
        <v>2</v>
      </c>
      <c r="G35" s="6" t="s">
        <v>277</v>
      </c>
      <c r="H35" s="3">
        <v>1</v>
      </c>
    </row>
  </sheetData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9</vt:i4>
      </vt:variant>
    </vt:vector>
  </HeadingPairs>
  <TitlesOfParts>
    <vt:vector size="9" baseType="lpstr">
      <vt:lpstr>룬테리아 데이터 테이블 정보</vt:lpstr>
      <vt:lpstr>01.BaseData</vt:lpstr>
      <vt:lpstr>02.CardData</vt:lpstr>
      <vt:lpstr>카드 태그 계산기</vt:lpstr>
      <vt:lpstr>03.RelicData</vt:lpstr>
      <vt:lpstr>04.CardAddData</vt:lpstr>
      <vt:lpstr>05.TagData</vt:lpstr>
      <vt:lpstr>06.PackData</vt:lpstr>
      <vt:lpstr>07.GachaData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Sungeun Jeong</dc:creator>
  <cp:lastModifiedBy>Sungeun Jeong</cp:lastModifiedBy>
  <dcterms:created xsi:type="dcterms:W3CDTF">2025-06-06T07:49:26Z</dcterms:created>
  <dcterms:modified xsi:type="dcterms:W3CDTF">2025-08-09T07:33:43Z</dcterms:modified>
</cp:coreProperties>
</file>
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53865AAD-09D7-477C-B18D-218647BD2023}" xr6:coauthVersionLast="47" xr6:coauthVersionMax="47" xr10:uidLastSave="{00000000-0000-0000-0000-000000000000}"/>
  <bookViews>
    <workbookView xWindow="18645" yWindow="0" windowWidth="19755" windowHeight="21000" firstSheet="1" activeTab="2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<sst xmlns="http://schemas.openxmlformats.org/spreadsheetml/2006/main" count="468" uniqueCount="370">
  <si>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</si>
  <si>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</si>
  <si>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</si>
  <si>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</si>
  <si>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</si>
  <si>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</si>
  <si>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</si>
  <si>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</si>
  <si>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</si>
  <si>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</si>
  <si>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</si>
  <si>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</si>
  <si>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</si>
  <si>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</si>
  <si>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</si>
  <si>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</si>
  <si>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</si>
  <si>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</si>
  <si>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</si>
  <si>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</si>
  <si>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</si>
  <si>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relic1</t>
    <phoneticPr fontId="2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</si>
  <si>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</si>
  <si>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</si>
  <si>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</si>
  <si>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</si>
  <si>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</si>
  <si>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</si>
  <si>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</si>
  <si>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</si>
  <si>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</si>
  <si>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</si>
  <si>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</si>
  <si>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</si>
  <si>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</si>
  <si>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</si>
  <si>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</si>
  <si>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</si>
  <si>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</si>
  <si>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</si>
  <si>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</si>
  <si>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relic21</t>
  </si>
  <si>
    <t>relic22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</si>
  <si>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</si>
  <si>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</si>
  <si>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</si>
  <si>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</si>
  <si>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</si>
  <si>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</si>
  <si>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</si>
  <si>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부서진 도구의 기억</t>
  </si>
  <si>
    <t>유물을 가진 시점을 기준으로 도구 태그 카드가 파괴되었을 경우 1스택 증가. 스테이지 클리어 시 스택의 따른 골드를 제공한다.</t>
  </si>
  <si>
    <t>불변의 마감재</t>
  </si>
  <si>
    <t>강화되지 않은(+가 붙지않은) 도구 태그 카드의 파괴를 방지합니다.</t>
  </si>
  <si>
    <t>작은 금괴 조각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</si>
  <si>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</si>
  <si>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</si>
  <si>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</si>
  <si>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</si>
  <si>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</si>
  <si>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정밀 타격 가이드</t>
  </si>
  <si>
    <t>1x1 단일 타일 파괴 카드로 타일을 파괴할 때, x배수의 점수를 획득한다.</t>
  </si>
  <si>
    <t>광역 공격 전문가</t>
  </si>
  <si>
    <t>카드 한장으로 8칸 이상 파괴 할 경우, x배수의 점수를 획득한다.</t>
    <phoneticPr fontId="2" type="noConversion"/>
  </si>
  <si>
    <t>긴급 수리 키트</t>
  </si>
  <si>
    <t>도구 카드가 파괴될 때, x% 확률로 파괴되지 않고 손패로 돌아갑니다.</t>
  </si>
  <si>
    <t>고대의 나침반</t>
  </si>
  <si>
    <t>매 스테이지 처음으로 사용되는 도구 카드는 인접한 타일 하나를 추가로 파괴합니다. (무작위 방향 상하좌우)</t>
  </si>
  <si>
    <t>랜턴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</si>
  <si>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</si>
  <si>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</si>
  <si>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</si>
  <si>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거래상의 친구</t>
  </si>
  <si>
    <t>상점 의뢰시 실패 확률 x% 감소</t>
  </si>
  <si>
    <t>균열 생성기</t>
  </si>
  <si>
    <t>타일 파괴 실패 시, 해당 타일이 x% 확률로 균열 타일로 변경된다.</t>
  </si>
  <si>
    <t>균열 파편 강화</t>
  </si>
  <si>
    <t>균열 타일 파괴 시, +x 점수 추가</t>
  </si>
  <si>
    <t>완벽한 도구함</t>
  </si>
  <si>
    <t>드로우 시 강화된 도구 카드 1개당 +X 골드</t>
  </si>
  <si>
    <t>잔상 추적자</t>
  </si>
  <si>
    <t>잔상 타일을 타격 지점으로 선택하여 타일 파괴시, +x배수의 점수를 제공</t>
  </si>
  <si>
    <t>잔상 각인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</si>
  <si>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</si>
  <si>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</si>
  <si>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</si>
  <si>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가로/세로 방향 안정 장치</t>
  </si>
  <si>
    <t>타격점을 기준으로 특정 방향으로 파괴 시, 해당 방향 타일의 파괴 확률이 X% 증가합니다.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</si>
  <si>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</si>
  <si>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</si>
  <si>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</si>
  <si>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</si>
  <si>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</si>
  <si>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</si>
  <si>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</si>
  <si>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</si>
  <si>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</si>
  <si>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</si>
  <si>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</si>
  <si>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</si>
  <si>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</si>
  <si>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</si>
  <si>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</si>
  <si>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</si>
  <si>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</si>
  <si>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</si>
  <si>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</si>
  <si>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</si>
  <si>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</si>
  <si>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</si>
  <si>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</si>
  <si>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</si>
  <si>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</si>
  <si>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</si>
  <si>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</si>
  <si>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</si>
  <si>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</si>
  <si>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</si>
  <si>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</si>
  <si>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</si>
  <si>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</si>
  <si>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</si>
  <si>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</si>
  <si>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</si>
  <si>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</si>
  <si>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</si>
  <si>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</si>
  <si>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</si>
  <si>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</si>
  <si>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</si>
  <si>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</si>
  <si>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</si>
  <si>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</si>
  <si>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</si>
  <si>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</si>
  <si>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</si>
  <si>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</si>
  <si>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</si>
  <si>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</si>
  <si>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</si>
  <si>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</si>
  <si>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</si>
  <si>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</si>
  <si>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</si>
  <si>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</si>
  <si>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</si>
  <si>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</si>
  <si>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</si>
  <si>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</si>
  <si>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</si>
  <si>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</si>
  <si>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</si>
  <si>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</si>
  <si>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</si>
  <si>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</si>
  <si>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</si>
  <si>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</si>
  <si>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</si>
  <si>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카드 태그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</si>
  <si>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</si>
  <si>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</si>
  <si>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</si>
  <si>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</si>
  <si>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</si>
  <si>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</si>
  <si>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</si>
  <si>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</si>
  <si>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</si>
  <si>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</si>
  <si>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</si>
  <si>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</si>
  <si>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</si>
  <si>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</si>
  <si>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</si>
  <si>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</si>
  <si>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</si>
  <si>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</si>
  <si>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</si>
  <si>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카드 추가정보 아이디 (05.CardAddData ID참조)</t>
    <phoneticPr fontId="2" type="noConversion"/>
  </si>
  <si>
    <t>Adventurer</t>
  </si>
  <si>
    <t>Card_Shovel</t>
    <phoneticPr fontId="2" type="noConversion"/>
  </si>
  <si>
    <t>Enhanced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</si>
  <si>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</si>
  <si>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</si>
  <si>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</si>
  <si>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</si>
  <si>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</si>
  <si>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</si>
  <si>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</si>
  <si>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</si>
  <si>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</si>
  <si>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</si>
  <si>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</si>
  <si>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</si>
  <si>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</si>
  <si>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</si>
  <si>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</si>
  <si>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</si>
  <si>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</si>
  <si>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</si>
  <si>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</si>
  <si>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</si>
  <si>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</si>
  <si>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</si>
  <si>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</si>
  <si>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</si>
  <si>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</si>
  <si>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</si>
  <si>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</si>
  <si>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</si>
  <si>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</si>
  <si>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</si>
  <si>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</si>
  <si>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</si>
  <si>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</si>
  <si>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</si>
  <si>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</si>
  <si>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</si>
  <si>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</si>
  <si>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</si>
  <si>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</si>
  <si>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</si>
  <si>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</si>
  <si>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</si>
  <si>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</si>
  <si>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</si>
  <si>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</si>
  <si>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</si>
  <si>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</si>
  <si>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</si>
  <si>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</si>
  <si>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</si>
  <si>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</si>
  <si>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</si>
  <si>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</si>
  <si>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</si>
  <si>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</si>
  <si>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</si>
  <si>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</si>
  <si>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</si>
  <si>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</si>
  <si>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</si>
  <si>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</si>
  <si>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</si>
  <si>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</si>
  <si>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</si>
  <si>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</si>
  <si>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</si>
  <si>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</si>
  <si>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</si>
  <si>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</si>
  <si>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</si>
  <si>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</si>
  <si>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</si>
  <si>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</si>
  <si>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</si>
  <si>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</si>
  <si>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</si>
  <si>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</si>
  <si>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</si>
  <si>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</si>
  <si>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</si>
  <si>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</si>
  <si>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</si>
  <si>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</si>
  <si>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</si>
  <si>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</si>
  <si>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</si>
  <si>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</si>
  <si>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</si>
  <si>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</si>
  <si>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</si>
  <si>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</si>
  <si>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</si>
  <si>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</si>
  <si>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</si>
  <si>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</si>
  <si>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</si>
  <si>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</si>
  <si>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</si>
  <si>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</si>
  <si>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</si>
  <si>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</si>
  <si>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</si>
  <si>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</si>
  <si>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</si>
  <si>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</si>
  <si>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</si>
  <si>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</si>
  <si>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</si>
  <si>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</si>
  <si>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</si>
  <si>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</si>
  <si>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</si>
  <si>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</si>
  <si>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</si>
  <si>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</si>
  <si>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</si>
  <si>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</si>
  <si>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</si>
  <si>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</si>
  <si>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</si>
  <si>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</si>
  <si>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</si>
  <si>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</si>
  <si>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Card_Adventurer'sTorch_Name</t>
    <phoneticPr fontId="2" type="noConversion"/>
  </si>
  <si>
    <t>Card_Adventurer'sTorch_Enhanced_Name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</si>
  <si>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</si>
  <si>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</si>
  <si>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</si>
  <si>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</si>
  <si>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Card_Adventurer'sTorch_Des</t>
    <phoneticPr fontId="2" type="noConversion"/>
  </si>
  <si>
    <t>Card_Adventurer'sTorch_Enhanced_Des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</si>
  <si>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</si>
  <si>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</si>
  <si>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</si>
  <si>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</si>
  <si>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</si>
  <si>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</si>
  <si>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</si>
  <si>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</si>
  <si>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</si>
  <si>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</si>
  <si>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</si>
  <si>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</si>
  <si>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</si>
  <si>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relic1_Name</t>
    <phoneticPr fontId="2" type="noConversion"/>
  </si>
  <si>
    <t>relic2_Name</t>
  </si>
  <si>
    <t>relic3_Name</t>
  </si>
  <si>
    <t>relic4_Name</t>
  </si>
  <si>
    <t>relic5_Name</t>
  </si>
  <si>
    <t>relic6_Name</t>
  </si>
  <si>
    <t>relic7_Name</t>
  </si>
  <si>
    <t>relic8_Name</t>
  </si>
  <si>
    <t>relic9_Name</t>
  </si>
  <si>
    <t>relic10_Name</t>
  </si>
  <si>
    <t>relic11_Name</t>
  </si>
  <si>
    <t>relic12_Name</t>
  </si>
  <si>
    <t>relic13_Name</t>
  </si>
  <si>
    <t>relic14_Name</t>
  </si>
  <si>
    <t>relic15_Name</t>
  </si>
  <si>
    <t>relic16_Name</t>
  </si>
  <si>
    <t>relic17_Name</t>
  </si>
  <si>
    <t>relic18_Name</t>
  </si>
  <si>
    <t>relic19_Name</t>
  </si>
  <si>
    <t>relic20_Name</t>
  </si>
  <si>
    <t>relic21_Name</t>
  </si>
  <si>
    <t>relic22_Name</t>
  </si>
  <si>
    <t>relic1_Des</t>
    <phoneticPr fontId="2" type="noConversion"/>
  </si>
  <si>
    <t>relic2_Des</t>
  </si>
  <si>
    <t>relic3_Des</t>
  </si>
  <si>
    <t>relic4_Des</t>
  </si>
  <si>
    <t>relic5_Des</t>
  </si>
  <si>
    <t>relic6_Des</t>
  </si>
  <si>
    <t>relic7_Des</t>
  </si>
  <si>
    <t>relic8_Des</t>
  </si>
  <si>
    <t>relic9_Des</t>
  </si>
  <si>
    <t>relic10_Des</t>
  </si>
  <si>
    <t>relic11_Des</t>
  </si>
  <si>
    <t>relic12_Des</t>
  </si>
  <si>
    <t>relic13_Des</t>
  </si>
  <si>
    <t>relic14_Des</t>
  </si>
  <si>
    <t>relic15_Des</t>
  </si>
  <si>
    <t>relic16_Des</t>
  </si>
  <si>
    <t>relic17_Des</t>
  </si>
  <si>
    <t>relic18_Des</t>
  </si>
  <si>
    <t>relic19_Des</t>
  </si>
  <si>
    <t>relic20_Des</t>
  </si>
  <si>
    <t>relic21_Des</t>
  </si>
  <si>
    <t>relic22_Des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</si>
</sst>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O44" sqref="O44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14" t="s">
        <v>0</v>
      </c>
      <c r="C2" s="15"/>
      <c r="D2" s="16"/>
      <c r="F2" s="3"/>
      <c r="G2" s="3"/>
      <c r="H2" s="3"/>
    </row>
    <row r="3" spans="2:8" x14ac:dyDescent="0.3">
      <c r="B3" s="17" t="s">
        <v>7</v>
      </c>
      <c r="C3" s="18"/>
      <c r="D3" s="19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topLeftCell="A16"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F43"/>
  <sheetViews>
    <sheetView tabSelected="1" topLeftCell="E1" zoomScale="85" zoomScaleNormal="85" workbookViewId="0">
      <selection activeCell="E46" sqref="E46"/>
    </sheetView>
  </sheetViews>
  <sheetFormatPr defaultRowHeight="12" x14ac:dyDescent="0.3"/>
  <cols>
    <col min="1" max="1" width="8.25" style="6" bestFit="1" customWidth="1"/>
    <col min="2" max="3" width="30.875" style="6" bestFit="1" customWidth="1"/>
    <col min="4" max="4" width="34.25" style="6" bestFit="1" customWidth="1"/>
    <col min="5" max="5" width="14.875" style="21" bestFit="1" customWidth="1"/>
    <col min="6" max="6" width="8" style="21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31" bestFit="1" customWidth="1"/>
    <col min="14" max="16" width="12.5" style="6" bestFit="1" customWidth="1"/>
    <col min="17" max="17" width="10.5" style="6" bestFit="1" customWidth="1"/>
    <col min="18" max="18" width="8.5" style="6" bestFit="1" customWidth="1"/>
    <col min="19" max="19" width="14.375" style="6" bestFit="1" customWidth="1"/>
    <col min="20" max="20" width="10.25" style="6" bestFit="1" customWidth="1"/>
    <col min="21" max="21" width="2.25" style="13" customWidth="1"/>
    <col min="22" max="22" width="9" style="4"/>
    <col min="23" max="23" width="18" style="4" bestFit="1" customWidth="1"/>
    <col min="24" max="24" width="34.5" style="4" bestFit="1" customWidth="1"/>
    <col min="25" max="26" width="9" style="4"/>
    <col min="27" max="27" width="6" style="4" customWidth="1"/>
    <col min="28" max="28" width="9.5" style="4" bestFit="1" customWidth="1"/>
    <col min="29" max="29" width="9" style="4"/>
    <col min="30" max="30" width="6.25" style="4" customWidth="1"/>
    <col min="31" max="31" width="11.75" style="4" bestFit="1" customWidth="1"/>
    <col min="32" max="32" width="23.5" style="4" bestFit="1" customWidth="1"/>
    <col min="33" max="16384" width="9" style="4"/>
  </cols>
  <sheetData>
    <row r="1" spans="1:32" s="11" customFormat="1" x14ac:dyDescent="0.3">
      <c r="A1" s="2" t="s">
        <v>129</v>
      </c>
      <c r="B1" s="2" t="s">
        <v>107</v>
      </c>
      <c r="C1" s="2" t="s">
        <v>108</v>
      </c>
      <c r="D1" s="2" t="s">
        <v>109</v>
      </c>
      <c r="E1" s="20" t="s">
        <v>111</v>
      </c>
      <c r="F1" s="20" t="s">
        <v>112</v>
      </c>
      <c r="G1" s="2" t="s">
        <v>110</v>
      </c>
      <c r="H1" s="2" t="s">
        <v>116</v>
      </c>
      <c r="I1" s="2" t="s">
        <v>114</v>
      </c>
      <c r="J1" s="2" t="s">
        <v>113</v>
      </c>
      <c r="K1" s="2" t="s">
        <v>115</v>
      </c>
      <c r="L1" s="2" t="s">
        <v>117</v>
      </c>
      <c r="M1" s="30" t="s">
        <v>118</v>
      </c>
      <c r="N1" s="2" t="s">
        <v>166</v>
      </c>
      <c r="O1" s="2" t="s">
        <v>167</v>
      </c>
      <c r="P1" s="2" t="s">
        <v>168</v>
      </c>
      <c r="Q1" s="2" t="s">
        <v>120</v>
      </c>
      <c r="R1" s="2" t="s">
        <v>121</v>
      </c>
      <c r="S1" s="2" t="s">
        <v>163</v>
      </c>
      <c r="T1" s="2" t="s">
        <v>119</v>
      </c>
      <c r="U1" s="12"/>
      <c r="W1" s="4"/>
      <c r="X1" s="4"/>
      <c r="Y1" s="4"/>
    </row>
    <row r="2" spans="1:32" x14ac:dyDescent="0.3">
      <c r="A2" s="6">
        <v>101</v>
      </c>
      <c r="B2" s="6" t="s">
        <v>180</v>
      </c>
      <c r="C2" s="6" t="s">
        <v>236</v>
      </c>
      <c r="D2" s="6" t="s">
        <v>263</v>
      </c>
      <c r="E2" s="21" t="s">
        <v>184</v>
      </c>
      <c r="F2" s="21">
        <v>0</v>
      </c>
      <c r="G2" s="6">
        <v>1</v>
      </c>
      <c r="H2" s="6">
        <v>2</v>
      </c>
      <c r="I2" s="6">
        <v>1</v>
      </c>
      <c r="J2" s="6" t="s">
        <v>211</v>
      </c>
      <c r="K2" s="6">
        <v>1</v>
      </c>
      <c r="L2" s="6">
        <v>1</v>
      </c>
      <c r="M2" s="3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32">
        <v>0</v>
      </c>
      <c r="R2" s="32">
        <v>0</v>
      </c>
      <c r="S2" s="32">
        <v>0</v>
      </c>
      <c r="T2" s="32">
        <v>0</v>
      </c>
      <c r="W2" s="17" t="s">
        <v>122</v>
      </c>
      <c r="X2" s="18"/>
      <c r="Y2" s="19"/>
    </row>
    <row r="3" spans="1:32" x14ac:dyDescent="0.3">
      <c r="A3" s="6">
        <v>102</v>
      </c>
      <c r="B3" s="6" t="s">
        <v>182</v>
      </c>
      <c r="C3" s="6" t="s">
        <v>237</v>
      </c>
      <c r="D3" s="6" t="s">
        <v>264</v>
      </c>
      <c r="E3" s="21" t="s">
        <v>185</v>
      </c>
      <c r="F3" s="21">
        <v>0</v>
      </c>
      <c r="G3" s="6">
        <v>1</v>
      </c>
      <c r="H3" s="6">
        <v>2</v>
      </c>
      <c r="I3" s="6">
        <v>1</v>
      </c>
      <c r="J3" s="6" t="s">
        <v>212</v>
      </c>
      <c r="K3" s="6">
        <v>1</v>
      </c>
      <c r="L3" s="6">
        <v>1</v>
      </c>
      <c r="M3" s="3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32">
        <v>0</v>
      </c>
      <c r="R3" s="32">
        <v>0</v>
      </c>
      <c r="S3" s="32">
        <v>0</v>
      </c>
      <c r="T3" s="32">
        <v>0</v>
      </c>
      <c r="W3" s="2" t="s">
        <v>123</v>
      </c>
      <c r="X3" s="2" t="s">
        <v>124</v>
      </c>
      <c r="Y3" s="2" t="s">
        <v>125</v>
      </c>
      <c r="AA3" s="17" t="s">
        <v>110</v>
      </c>
      <c r="AB3" s="22"/>
      <c r="AC3" s="11"/>
      <c r="AD3" s="23" t="s">
        <v>146</v>
      </c>
      <c r="AE3" s="23"/>
      <c r="AF3" s="23"/>
    </row>
    <row r="4" spans="1:32" x14ac:dyDescent="0.3">
      <c r="A4" s="6">
        <v>103</v>
      </c>
      <c r="B4" s="6" t="s">
        <v>211</v>
      </c>
      <c r="C4" s="6" t="s">
        <v>238</v>
      </c>
      <c r="D4" s="6" t="s">
        <v>265</v>
      </c>
      <c r="E4" s="21" t="s">
        <v>186</v>
      </c>
      <c r="F4" s="21">
        <v>0</v>
      </c>
      <c r="G4" s="6">
        <v>1</v>
      </c>
      <c r="H4" s="6">
        <v>2</v>
      </c>
      <c r="I4" s="6">
        <v>2</v>
      </c>
      <c r="J4" s="6" t="s">
        <v>180</v>
      </c>
      <c r="K4" s="6">
        <v>1</v>
      </c>
      <c r="L4" s="6">
        <v>1</v>
      </c>
      <c r="M4" s="3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32">
        <v>0</v>
      </c>
      <c r="R4" s="32">
        <v>0</v>
      </c>
      <c r="S4" s="32">
        <v>0</v>
      </c>
      <c r="T4" s="32">
        <v>0</v>
      </c>
      <c r="W4" s="2" t="s">
        <v>129</v>
      </c>
      <c r="X4" s="6" t="s">
        <v>130</v>
      </c>
      <c r="Y4" s="6" t="s">
        <v>126</v>
      </c>
      <c r="AA4" s="6">
        <v>1</v>
      </c>
      <c r="AB4" s="6" t="s">
        <v>136</v>
      </c>
      <c r="AD4" s="24" t="s">
        <v>114</v>
      </c>
      <c r="AE4" s="25"/>
      <c r="AF4" s="9" t="s">
        <v>113</v>
      </c>
    </row>
    <row r="5" spans="1:32" x14ac:dyDescent="0.3">
      <c r="A5" s="6">
        <v>104</v>
      </c>
      <c r="B5" s="6" t="s">
        <v>212</v>
      </c>
      <c r="C5" s="6" t="s">
        <v>239</v>
      </c>
      <c r="D5" s="6" t="s">
        <v>266</v>
      </c>
      <c r="E5" s="21" t="s">
        <v>187</v>
      </c>
      <c r="F5" s="21">
        <v>0</v>
      </c>
      <c r="G5" s="6">
        <v>1</v>
      </c>
      <c r="H5" s="6">
        <v>2</v>
      </c>
      <c r="I5" s="6">
        <v>2</v>
      </c>
      <c r="J5" s="6" t="s">
        <v>182</v>
      </c>
      <c r="K5" s="6">
        <v>1</v>
      </c>
      <c r="L5" s="6">
        <v>1</v>
      </c>
      <c r="M5" s="3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32">
        <v>0</v>
      </c>
      <c r="R5" s="32">
        <v>0</v>
      </c>
      <c r="S5" s="32">
        <v>0</v>
      </c>
      <c r="T5" s="32">
        <v>0</v>
      </c>
      <c r="W5" s="2" t="s">
        <v>107</v>
      </c>
      <c r="X5" s="6" t="s">
        <v>128</v>
      </c>
      <c r="Y5" s="6" t="s">
        <v>126</v>
      </c>
      <c r="AA5" s="6">
        <v>2</v>
      </c>
      <c r="AB5" s="6" t="s">
        <v>137</v>
      </c>
      <c r="AD5" s="10">
        <v>0</v>
      </c>
      <c r="AE5" s="10" t="s">
        <v>147</v>
      </c>
      <c r="AF5" s="10">
        <v>0</v>
      </c>
    </row>
    <row r="6" spans="1:32" x14ac:dyDescent="0.3">
      <c r="A6" s="6">
        <v>105</v>
      </c>
      <c r="B6" s="6" t="s">
        <v>213</v>
      </c>
      <c r="C6" s="6" t="s">
        <v>240</v>
      </c>
      <c r="D6" s="6" t="s">
        <v>267</v>
      </c>
      <c r="E6" s="21" t="s">
        <v>188</v>
      </c>
      <c r="F6" s="21">
        <v>0</v>
      </c>
      <c r="G6" s="6">
        <v>1</v>
      </c>
      <c r="H6" s="6">
        <v>2</v>
      </c>
      <c r="I6" s="6">
        <v>1</v>
      </c>
      <c r="J6" s="6" t="s">
        <v>214</v>
      </c>
      <c r="K6" s="6">
        <v>1</v>
      </c>
      <c r="L6" s="6">
        <v>1</v>
      </c>
      <c r="M6" s="3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32">
        <v>0</v>
      </c>
      <c r="R6" s="32">
        <v>0</v>
      </c>
      <c r="S6" s="32">
        <v>0</v>
      </c>
      <c r="T6" s="32">
        <v>0</v>
      </c>
      <c r="W6" s="2" t="s">
        <v>108</v>
      </c>
      <c r="X6" s="6" t="s">
        <v>127</v>
      </c>
      <c r="Y6" s="6" t="s">
        <v>126</v>
      </c>
      <c r="AD6" s="10">
        <v>1</v>
      </c>
      <c r="AE6" s="10" t="s">
        <v>149</v>
      </c>
      <c r="AF6" s="10" t="s">
        <v>150</v>
      </c>
    </row>
    <row r="7" spans="1:32" x14ac:dyDescent="0.3">
      <c r="A7" s="6">
        <v>106</v>
      </c>
      <c r="B7" s="6" t="s">
        <v>214</v>
      </c>
      <c r="C7" s="6" t="s">
        <v>241</v>
      </c>
      <c r="D7" s="6" t="s">
        <v>268</v>
      </c>
      <c r="E7" s="21" t="s">
        <v>189</v>
      </c>
      <c r="F7" s="21">
        <v>0</v>
      </c>
      <c r="G7" s="6">
        <v>1</v>
      </c>
      <c r="H7" s="6">
        <v>2</v>
      </c>
      <c r="I7" s="6">
        <v>2</v>
      </c>
      <c r="J7" s="6" t="s">
        <v>213</v>
      </c>
      <c r="K7" s="6">
        <v>1</v>
      </c>
      <c r="L7" s="6">
        <v>1</v>
      </c>
      <c r="M7" s="3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32">
        <v>0</v>
      </c>
      <c r="R7" s="32">
        <v>0</v>
      </c>
      <c r="S7" s="32">
        <v>0</v>
      </c>
      <c r="T7" s="32">
        <v>0</v>
      </c>
      <c r="W7" s="2" t="s">
        <v>109</v>
      </c>
      <c r="X7" s="6" t="s">
        <v>131</v>
      </c>
      <c r="Y7" s="6" t="s">
        <v>126</v>
      </c>
      <c r="AA7" s="17" t="s">
        <v>140</v>
      </c>
      <c r="AB7" s="22"/>
      <c r="AD7" s="10">
        <v>2</v>
      </c>
      <c r="AE7" s="10" t="s">
        <v>148</v>
      </c>
      <c r="AF7" s="10" t="s">
        <v>151</v>
      </c>
    </row>
    <row r="8" spans="1:32" x14ac:dyDescent="0.3">
      <c r="A8" s="6">
        <v>107</v>
      </c>
      <c r="B8" s="6" t="s">
        <v>215</v>
      </c>
      <c r="C8" s="6" t="s">
        <v>242</v>
      </c>
      <c r="D8" s="6" t="s">
        <v>269</v>
      </c>
      <c r="E8" s="21" t="s">
        <v>183</v>
      </c>
      <c r="F8" s="21">
        <v>0</v>
      </c>
      <c r="G8" s="6">
        <v>1</v>
      </c>
      <c r="H8" s="6">
        <v>2</v>
      </c>
      <c r="I8" s="6">
        <v>1</v>
      </c>
      <c r="J8" s="6" t="s">
        <v>216</v>
      </c>
      <c r="K8" s="6">
        <v>1</v>
      </c>
      <c r="L8" s="6">
        <v>1</v>
      </c>
      <c r="M8" s="3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32">
        <v>0</v>
      </c>
      <c r="R8" s="32">
        <v>0</v>
      </c>
      <c r="S8" s="32">
        <v>0</v>
      </c>
      <c r="T8" s="32">
        <v>0</v>
      </c>
      <c r="W8" s="2" t="s">
        <v>111</v>
      </c>
      <c r="X8" s="6" t="s">
        <v>132</v>
      </c>
      <c r="Y8" s="6" t="s">
        <v>134</v>
      </c>
      <c r="AA8" s="6">
        <v>1</v>
      </c>
      <c r="AB8" s="6" t="s">
        <v>141</v>
      </c>
    </row>
    <row r="9" spans="1:32" x14ac:dyDescent="0.3">
      <c r="A9" s="6">
        <v>108</v>
      </c>
      <c r="B9" s="6" t="s">
        <v>216</v>
      </c>
      <c r="C9" s="6" t="s">
        <v>243</v>
      </c>
      <c r="D9" s="6" t="s">
        <v>270</v>
      </c>
      <c r="E9" s="21" t="s">
        <v>190</v>
      </c>
      <c r="F9" s="21">
        <v>0</v>
      </c>
      <c r="G9" s="6">
        <v>1</v>
      </c>
      <c r="H9" s="6">
        <v>2</v>
      </c>
      <c r="I9" s="6">
        <v>2</v>
      </c>
      <c r="J9" s="6" t="s">
        <v>215</v>
      </c>
      <c r="K9" s="6">
        <v>1</v>
      </c>
      <c r="L9" s="6">
        <v>1</v>
      </c>
      <c r="M9" s="3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32">
        <v>0</v>
      </c>
      <c r="R9" s="32">
        <v>0</v>
      </c>
      <c r="S9" s="32">
        <v>0</v>
      </c>
      <c r="T9" s="32">
        <v>0</v>
      </c>
      <c r="W9" s="2" t="s">
        <v>112</v>
      </c>
      <c r="X9" s="6" t="s">
        <v>133</v>
      </c>
      <c r="Y9" s="6" t="s">
        <v>134</v>
      </c>
      <c r="AA9" s="6">
        <v>2</v>
      </c>
      <c r="AB9" s="6" t="s">
        <v>142</v>
      </c>
      <c r="AD9" s="17" t="s">
        <v>117</v>
      </c>
      <c r="AE9" s="22"/>
    </row>
    <row r="10" spans="1:32" x14ac:dyDescent="0.3">
      <c r="A10" s="6">
        <v>109</v>
      </c>
      <c r="B10" s="6" t="s">
        <v>217</v>
      </c>
      <c r="C10" s="6" t="s">
        <v>244</v>
      </c>
      <c r="D10" s="6" t="s">
        <v>271</v>
      </c>
      <c r="E10" s="21" t="s">
        <v>191</v>
      </c>
      <c r="F10" s="21">
        <v>0</v>
      </c>
      <c r="G10" s="6">
        <v>1</v>
      </c>
      <c r="H10" s="6">
        <v>2</v>
      </c>
      <c r="I10" s="6">
        <v>1</v>
      </c>
      <c r="J10" s="6" t="s">
        <v>218</v>
      </c>
      <c r="K10" s="6">
        <v>2</v>
      </c>
      <c r="L10" s="6">
        <v>1</v>
      </c>
      <c r="M10" s="3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32">
        <v>0</v>
      </c>
      <c r="R10" s="32">
        <v>0</v>
      </c>
      <c r="S10" s="32">
        <v>0</v>
      </c>
      <c r="T10" s="32">
        <v>0</v>
      </c>
      <c r="W10" s="2" t="s">
        <v>110</v>
      </c>
      <c r="X10" s="6" t="s">
        <v>135</v>
      </c>
      <c r="Y10" s="6" t="s">
        <v>138</v>
      </c>
      <c r="AA10" s="6">
        <v>3</v>
      </c>
      <c r="AB10" s="6" t="s">
        <v>143</v>
      </c>
      <c r="AD10" s="6">
        <v>1</v>
      </c>
      <c r="AE10" s="6" t="s">
        <v>142</v>
      </c>
    </row>
    <row r="11" spans="1:32" x14ac:dyDescent="0.3">
      <c r="A11" s="6">
        <v>110</v>
      </c>
      <c r="B11" s="6" t="s">
        <v>218</v>
      </c>
      <c r="C11" s="6" t="s">
        <v>245</v>
      </c>
      <c r="D11" s="6" t="s">
        <v>272</v>
      </c>
      <c r="E11" s="21" t="s">
        <v>192</v>
      </c>
      <c r="F11" s="21">
        <v>0</v>
      </c>
      <c r="G11" s="6">
        <v>1</v>
      </c>
      <c r="H11" s="6">
        <v>2</v>
      </c>
      <c r="I11" s="6">
        <v>2</v>
      </c>
      <c r="J11" s="6" t="s">
        <v>217</v>
      </c>
      <c r="K11" s="6">
        <v>2</v>
      </c>
      <c r="L11" s="6">
        <v>1</v>
      </c>
      <c r="M11" s="3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32">
        <v>0</v>
      </c>
      <c r="R11" s="32">
        <v>0</v>
      </c>
      <c r="S11" s="32">
        <v>0</v>
      </c>
      <c r="T11" s="32">
        <v>0</v>
      </c>
      <c r="W11" s="2" t="s">
        <v>116</v>
      </c>
      <c r="X11" s="6" t="s">
        <v>139</v>
      </c>
      <c r="Y11" s="6" t="s">
        <v>138</v>
      </c>
      <c r="AD11" s="6">
        <v>2</v>
      </c>
      <c r="AE11" s="6" t="s">
        <v>143</v>
      </c>
    </row>
    <row r="12" spans="1:32" x14ac:dyDescent="0.3">
      <c r="A12" s="6">
        <v>111</v>
      </c>
      <c r="B12" s="6" t="s">
        <v>219</v>
      </c>
      <c r="C12" s="6" t="s">
        <v>246</v>
      </c>
      <c r="D12" s="6" t="s">
        <v>273</v>
      </c>
      <c r="E12" s="21" t="s">
        <v>193</v>
      </c>
      <c r="F12" s="21">
        <v>0</v>
      </c>
      <c r="G12" s="6">
        <v>1</v>
      </c>
      <c r="H12" s="6">
        <v>2</v>
      </c>
      <c r="I12" s="6">
        <v>1</v>
      </c>
      <c r="J12" s="6" t="s">
        <v>220</v>
      </c>
      <c r="K12" s="6">
        <v>2</v>
      </c>
      <c r="L12" s="6">
        <v>1</v>
      </c>
      <c r="M12" s="3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32">
        <v>0</v>
      </c>
      <c r="R12" s="32">
        <v>0</v>
      </c>
      <c r="S12" s="32">
        <v>0</v>
      </c>
      <c r="T12" s="32">
        <v>0</v>
      </c>
      <c r="W12" s="2" t="s">
        <v>114</v>
      </c>
      <c r="X12" s="6" t="s">
        <v>144</v>
      </c>
      <c r="Y12" s="6" t="s">
        <v>138</v>
      </c>
      <c r="AA12" s="17" t="s">
        <v>115</v>
      </c>
      <c r="AB12" s="22"/>
      <c r="AD12" s="2">
        <v>3</v>
      </c>
      <c r="AE12" s="2" t="s">
        <v>141</v>
      </c>
    </row>
    <row r="13" spans="1:32" x14ac:dyDescent="0.3">
      <c r="A13" s="6">
        <v>112</v>
      </c>
      <c r="B13" s="6" t="s">
        <v>220</v>
      </c>
      <c r="C13" s="6" t="s">
        <v>247</v>
      </c>
      <c r="D13" s="6" t="s">
        <v>274</v>
      </c>
      <c r="E13" s="21" t="s">
        <v>194</v>
      </c>
      <c r="F13" s="21">
        <v>0</v>
      </c>
      <c r="G13" s="6">
        <v>1</v>
      </c>
      <c r="H13" s="6">
        <v>2</v>
      </c>
      <c r="I13" s="6">
        <v>2</v>
      </c>
      <c r="J13" s="6" t="s">
        <v>219</v>
      </c>
      <c r="K13" s="6">
        <v>2</v>
      </c>
      <c r="L13" s="6">
        <v>1</v>
      </c>
      <c r="M13" s="3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32">
        <v>0</v>
      </c>
      <c r="R13" s="32">
        <v>0</v>
      </c>
      <c r="S13" s="32">
        <v>0</v>
      </c>
      <c r="T13" s="32">
        <v>0</v>
      </c>
      <c r="W13" s="2" t="s">
        <v>113</v>
      </c>
      <c r="X13" s="6" t="s">
        <v>145</v>
      </c>
      <c r="Y13" s="6" t="s">
        <v>126</v>
      </c>
      <c r="AA13" s="6">
        <v>1</v>
      </c>
      <c r="AB13" s="6" t="s">
        <v>153</v>
      </c>
    </row>
    <row r="14" spans="1:32" x14ac:dyDescent="0.3">
      <c r="A14" s="6">
        <v>113</v>
      </c>
      <c r="B14" s="6" t="s">
        <v>221</v>
      </c>
      <c r="C14" s="6" t="s">
        <v>248</v>
      </c>
      <c r="D14" s="6" t="s">
        <v>275</v>
      </c>
      <c r="E14" s="21" t="s">
        <v>195</v>
      </c>
      <c r="F14" s="21">
        <v>0</v>
      </c>
      <c r="G14" s="6">
        <v>1</v>
      </c>
      <c r="H14" s="6">
        <v>2</v>
      </c>
      <c r="I14" s="6">
        <v>1</v>
      </c>
      <c r="J14" s="6" t="s">
        <v>222</v>
      </c>
      <c r="K14" s="6">
        <v>2</v>
      </c>
      <c r="L14" s="6">
        <v>1</v>
      </c>
      <c r="M14" s="31">
        <f>INDEX('카드 태그 계산기'!C:C,MATCH('02.CardData'!A14,'카드 태그 계산기'!A:A,0))</f>
        <v>32</v>
      </c>
      <c r="N14" s="6">
        <v>0</v>
      </c>
      <c r="O14" s="6">
        <v>0</v>
      </c>
      <c r="P14" s="6">
        <v>0</v>
      </c>
      <c r="Q14" s="32">
        <v>0</v>
      </c>
      <c r="R14" s="32">
        <v>0</v>
      </c>
      <c r="S14" s="32">
        <v>0</v>
      </c>
      <c r="T14" s="32">
        <v>0</v>
      </c>
      <c r="W14" s="2" t="s">
        <v>115</v>
      </c>
      <c r="X14" s="6" t="s">
        <v>152</v>
      </c>
      <c r="Y14" s="6" t="s">
        <v>138</v>
      </c>
      <c r="AA14" s="6">
        <v>2</v>
      </c>
      <c r="AB14" s="6" t="s">
        <v>154</v>
      </c>
      <c r="AD14" s="17" t="s">
        <v>118</v>
      </c>
      <c r="AE14" s="22"/>
    </row>
    <row r="15" spans="1:32" x14ac:dyDescent="0.3">
      <c r="A15" s="6">
        <v>114</v>
      </c>
      <c r="B15" s="6" t="s">
        <v>222</v>
      </c>
      <c r="C15" s="6" t="s">
        <v>249</v>
      </c>
      <c r="D15" s="6" t="s">
        <v>276</v>
      </c>
      <c r="E15" s="21" t="s">
        <v>196</v>
      </c>
      <c r="F15" s="21">
        <v>0</v>
      </c>
      <c r="G15" s="6">
        <v>1</v>
      </c>
      <c r="H15" s="6">
        <v>2</v>
      </c>
      <c r="I15" s="6">
        <v>2</v>
      </c>
      <c r="J15" s="6" t="s">
        <v>221</v>
      </c>
      <c r="K15" s="6">
        <v>2</v>
      </c>
      <c r="L15" s="6">
        <v>1</v>
      </c>
      <c r="M15" s="31">
        <f>INDEX('카드 태그 계산기'!C:C,MATCH('02.CardData'!A15,'카드 태그 계산기'!A:A,0))</f>
        <v>32</v>
      </c>
      <c r="N15" s="6">
        <v>0</v>
      </c>
      <c r="O15" s="6">
        <v>0</v>
      </c>
      <c r="P15" s="6">
        <v>0</v>
      </c>
      <c r="Q15" s="32">
        <v>0</v>
      </c>
      <c r="R15" s="32">
        <v>0</v>
      </c>
      <c r="S15" s="32">
        <v>0</v>
      </c>
      <c r="T15" s="32">
        <v>0</v>
      </c>
      <c r="W15" s="2" t="s">
        <v>117</v>
      </c>
      <c r="X15" s="6" t="s">
        <v>157</v>
      </c>
      <c r="Y15" s="6" t="s">
        <v>156</v>
      </c>
      <c r="AA15" s="6">
        <v>3</v>
      </c>
      <c r="AB15" s="6" t="s">
        <v>155</v>
      </c>
      <c r="AD15" s="6">
        <v>1</v>
      </c>
      <c r="AE15" s="6"/>
    </row>
    <row r="16" spans="1:32" x14ac:dyDescent="0.3">
      <c r="A16" s="6">
        <v>115</v>
      </c>
      <c r="B16" s="6" t="s">
        <v>223</v>
      </c>
      <c r="C16" s="6" t="s">
        <v>250</v>
      </c>
      <c r="D16" s="6" t="s">
        <v>277</v>
      </c>
      <c r="E16" s="21" t="s">
        <v>197</v>
      </c>
      <c r="F16" s="21">
        <v>0</v>
      </c>
      <c r="G16" s="6">
        <v>1</v>
      </c>
      <c r="H16" s="6">
        <v>2</v>
      </c>
      <c r="I16" s="6">
        <v>1</v>
      </c>
      <c r="J16" s="6" t="s">
        <v>224</v>
      </c>
      <c r="K16" s="6">
        <v>2</v>
      </c>
      <c r="L16" s="6">
        <v>1</v>
      </c>
      <c r="M16" s="3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32">
        <v>0</v>
      </c>
      <c r="R16" s="32">
        <v>0</v>
      </c>
      <c r="S16" s="32">
        <v>0</v>
      </c>
      <c r="T16" s="32">
        <v>0</v>
      </c>
      <c r="W16" s="2" t="s">
        <v>118</v>
      </c>
      <c r="X16" s="6" t="s">
        <v>158</v>
      </c>
      <c r="Y16" s="6" t="s">
        <v>156</v>
      </c>
      <c r="AD16" s="6">
        <v>2</v>
      </c>
      <c r="AE16" s="6"/>
    </row>
    <row r="17" spans="1:31" x14ac:dyDescent="0.3">
      <c r="A17" s="6">
        <v>116</v>
      </c>
      <c r="B17" s="6" t="s">
        <v>224</v>
      </c>
      <c r="C17" s="6" t="s">
        <v>251</v>
      </c>
      <c r="D17" s="6" t="s">
        <v>278</v>
      </c>
      <c r="E17" s="21" t="s">
        <v>198</v>
      </c>
      <c r="F17" s="21">
        <v>0</v>
      </c>
      <c r="G17" s="6">
        <v>1</v>
      </c>
      <c r="H17" s="6">
        <v>2</v>
      </c>
      <c r="I17" s="6">
        <v>2</v>
      </c>
      <c r="J17" s="6" t="s">
        <v>223</v>
      </c>
      <c r="K17" s="6">
        <v>2</v>
      </c>
      <c r="L17" s="6">
        <v>1</v>
      </c>
      <c r="M17" s="3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32">
        <v>0</v>
      </c>
      <c r="R17" s="32">
        <v>0</v>
      </c>
      <c r="S17" s="32">
        <v>0</v>
      </c>
      <c r="T17" s="32">
        <v>0</v>
      </c>
      <c r="W17" s="2" t="s">
        <v>166</v>
      </c>
      <c r="X17" s="6" t="s">
        <v>178</v>
      </c>
      <c r="Y17" s="6" t="s">
        <v>126</v>
      </c>
      <c r="AD17" s="6">
        <v>4</v>
      </c>
      <c r="AE17" s="6"/>
    </row>
    <row r="18" spans="1:31" x14ac:dyDescent="0.3">
      <c r="A18" s="6">
        <v>117</v>
      </c>
      <c r="B18" s="6" t="s">
        <v>225</v>
      </c>
      <c r="C18" s="6" t="s">
        <v>252</v>
      </c>
      <c r="D18" s="6" t="s">
        <v>279</v>
      </c>
      <c r="E18" s="21" t="s">
        <v>199</v>
      </c>
      <c r="F18" s="21">
        <v>0</v>
      </c>
      <c r="G18" s="6">
        <v>1</v>
      </c>
      <c r="H18" s="6">
        <v>2</v>
      </c>
      <c r="I18" s="6">
        <v>1</v>
      </c>
      <c r="J18" s="6" t="s">
        <v>226</v>
      </c>
      <c r="K18" s="6">
        <v>2</v>
      </c>
      <c r="L18" s="6">
        <v>1</v>
      </c>
      <c r="M18" s="3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32">
        <v>0</v>
      </c>
      <c r="R18" s="32">
        <v>0</v>
      </c>
      <c r="S18" s="32">
        <v>0</v>
      </c>
      <c r="T18" s="32">
        <v>0</v>
      </c>
      <c r="W18" s="2" t="s">
        <v>167</v>
      </c>
      <c r="X18" s="6" t="s">
        <v>178</v>
      </c>
      <c r="Y18" s="6" t="s">
        <v>126</v>
      </c>
      <c r="AD18" s="6">
        <v>8</v>
      </c>
      <c r="AE18" s="6"/>
    </row>
    <row r="19" spans="1:31" x14ac:dyDescent="0.3">
      <c r="A19" s="6">
        <v>118</v>
      </c>
      <c r="B19" s="6" t="s">
        <v>226</v>
      </c>
      <c r="C19" s="6" t="s">
        <v>253</v>
      </c>
      <c r="D19" s="6" t="s">
        <v>280</v>
      </c>
      <c r="E19" s="21" t="s">
        <v>200</v>
      </c>
      <c r="F19" s="21">
        <v>0</v>
      </c>
      <c r="G19" s="6">
        <v>1</v>
      </c>
      <c r="H19" s="6">
        <v>2</v>
      </c>
      <c r="I19" s="6">
        <v>2</v>
      </c>
      <c r="J19" s="6" t="s">
        <v>225</v>
      </c>
      <c r="K19" s="6">
        <v>2</v>
      </c>
      <c r="L19" s="6">
        <v>1</v>
      </c>
      <c r="M19" s="3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32">
        <v>0</v>
      </c>
      <c r="R19" s="32">
        <v>0</v>
      </c>
      <c r="S19" s="32">
        <v>0</v>
      </c>
      <c r="T19" s="32">
        <v>0</v>
      </c>
      <c r="W19" s="2" t="s">
        <v>168</v>
      </c>
      <c r="X19" s="6" t="s">
        <v>178</v>
      </c>
      <c r="Y19" s="6" t="s">
        <v>126</v>
      </c>
      <c r="AD19" s="6">
        <v>16</v>
      </c>
      <c r="AE19" s="6"/>
    </row>
    <row r="20" spans="1:31" x14ac:dyDescent="0.3">
      <c r="A20" s="6">
        <v>119</v>
      </c>
      <c r="B20" s="6" t="s">
        <v>227</v>
      </c>
      <c r="C20" s="6" t="s">
        <v>254</v>
      </c>
      <c r="D20" s="6" t="s">
        <v>281</v>
      </c>
      <c r="E20" s="21" t="s">
        <v>201</v>
      </c>
      <c r="F20" s="21">
        <v>0</v>
      </c>
      <c r="G20" s="6">
        <v>1</v>
      </c>
      <c r="H20" s="6">
        <v>2</v>
      </c>
      <c r="I20" s="6">
        <v>1</v>
      </c>
      <c r="J20" s="6" t="s">
        <v>228</v>
      </c>
      <c r="K20" s="6">
        <v>2</v>
      </c>
      <c r="L20" s="6">
        <v>1</v>
      </c>
      <c r="M20" s="3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32">
        <v>0</v>
      </c>
      <c r="R20" s="32">
        <v>0</v>
      </c>
      <c r="S20" s="32">
        <v>0</v>
      </c>
      <c r="T20" s="32">
        <v>0</v>
      </c>
      <c r="W20" s="2" t="s">
        <v>120</v>
      </c>
      <c r="X20" s="6" t="s">
        <v>160</v>
      </c>
      <c r="Y20" s="6" t="s">
        <v>126</v>
      </c>
      <c r="AD20" s="6">
        <v>32</v>
      </c>
      <c r="AE20" s="6" t="s">
        <v>319</v>
      </c>
    </row>
    <row r="21" spans="1:31" x14ac:dyDescent="0.3">
      <c r="A21" s="6">
        <v>120</v>
      </c>
      <c r="B21" s="6" t="s">
        <v>228</v>
      </c>
      <c r="C21" s="6" t="s">
        <v>255</v>
      </c>
      <c r="D21" s="6" t="s">
        <v>282</v>
      </c>
      <c r="E21" s="21" t="s">
        <v>202</v>
      </c>
      <c r="F21" s="21">
        <v>0</v>
      </c>
      <c r="G21" s="6">
        <v>1</v>
      </c>
      <c r="H21" s="6">
        <v>2</v>
      </c>
      <c r="I21" s="6">
        <v>2</v>
      </c>
      <c r="J21" s="6" t="s">
        <v>227</v>
      </c>
      <c r="K21" s="6">
        <v>2</v>
      </c>
      <c r="L21" s="6">
        <v>1</v>
      </c>
      <c r="M21" s="3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32">
        <v>0</v>
      </c>
      <c r="R21" s="32">
        <v>0</v>
      </c>
      <c r="S21" s="32">
        <v>0</v>
      </c>
      <c r="T21" s="32">
        <v>0</v>
      </c>
      <c r="W21" s="2" t="s">
        <v>121</v>
      </c>
      <c r="X21" s="6" t="s">
        <v>159</v>
      </c>
      <c r="Y21" s="6" t="s">
        <v>161</v>
      </c>
      <c r="AD21" s="6">
        <v>64</v>
      </c>
      <c r="AE21" s="6" t="s">
        <v>321</v>
      </c>
    </row>
    <row r="22" spans="1:31" x14ac:dyDescent="0.3">
      <c r="A22" s="6">
        <v>121</v>
      </c>
      <c r="B22" s="6" t="s">
        <v>229</v>
      </c>
      <c r="C22" s="6" t="s">
        <v>256</v>
      </c>
      <c r="D22" s="6" t="s">
        <v>283</v>
      </c>
      <c r="E22" s="21" t="s">
        <v>203</v>
      </c>
      <c r="F22" s="21">
        <v>0</v>
      </c>
      <c r="G22" s="6">
        <v>1</v>
      </c>
      <c r="H22" s="6">
        <v>2</v>
      </c>
      <c r="I22" s="6">
        <v>1</v>
      </c>
      <c r="J22" s="6" t="s">
        <v>298</v>
      </c>
      <c r="K22" s="6">
        <v>2</v>
      </c>
      <c r="L22" s="6">
        <v>1</v>
      </c>
      <c r="M22" s="3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32">
        <v>0</v>
      </c>
      <c r="R22" s="32">
        <v>0</v>
      </c>
      <c r="S22" s="32">
        <v>0</v>
      </c>
      <c r="T22" s="32">
        <v>0</v>
      </c>
      <c r="W22" s="2" t="s">
        <v>164</v>
      </c>
      <c r="X22" s="6" t="s">
        <v>162</v>
      </c>
      <c r="Y22" s="6" t="s">
        <v>134</v>
      </c>
      <c r="AD22" s="6">
        <v>128</v>
      </c>
      <c r="AE22" s="6" t="s">
        <v>323</v>
      </c>
    </row>
    <row r="23" spans="1:31" x14ac:dyDescent="0.3">
      <c r="A23" s="6">
        <v>122</v>
      </c>
      <c r="B23" s="6" t="s">
        <v>298</v>
      </c>
      <c r="C23" s="6" t="s">
        <v>257</v>
      </c>
      <c r="D23" s="6" t="s">
        <v>284</v>
      </c>
      <c r="E23" s="21" t="s">
        <v>204</v>
      </c>
      <c r="F23" s="21">
        <v>0</v>
      </c>
      <c r="G23" s="6">
        <v>1</v>
      </c>
      <c r="H23" s="6">
        <v>2</v>
      </c>
      <c r="I23" s="6">
        <v>2</v>
      </c>
      <c r="J23" s="6" t="s">
        <v>229</v>
      </c>
      <c r="K23" s="6">
        <v>2</v>
      </c>
      <c r="L23" s="6">
        <v>1</v>
      </c>
      <c r="M23" s="3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32">
        <v>0</v>
      </c>
      <c r="R23" s="32">
        <v>0</v>
      </c>
      <c r="S23" s="32">
        <v>0</v>
      </c>
      <c r="T23" s="32">
        <v>0</v>
      </c>
      <c r="W23" s="2" t="s">
        <v>119</v>
      </c>
      <c r="X23" s="6" t="s">
        <v>165</v>
      </c>
      <c r="Y23" s="6" t="s">
        <v>134</v>
      </c>
      <c r="AD23" s="6">
        <v>256</v>
      </c>
      <c r="AE23" s="6"/>
    </row>
    <row r="24" spans="1:31" x14ac:dyDescent="0.3">
      <c r="A24" s="6">
        <v>123</v>
      </c>
      <c r="B24" s="6" t="s">
        <v>230</v>
      </c>
      <c r="C24" s="6" t="s">
        <v>258</v>
      </c>
      <c r="D24" s="6" t="s">
        <v>285</v>
      </c>
      <c r="E24" s="21" t="s">
        <v>205</v>
      </c>
      <c r="F24" s="21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31">
        <f>INDEX('카드 태그 계산기'!C:C,MATCH('02.CardData'!A24,'카드 태그 계산기'!A:A,0))</f>
        <v>128</v>
      </c>
      <c r="N24" s="6">
        <v>0</v>
      </c>
      <c r="O24" s="6">
        <v>0</v>
      </c>
      <c r="P24" s="6">
        <v>0</v>
      </c>
      <c r="Q24" s="32">
        <v>0</v>
      </c>
      <c r="R24" s="32">
        <v>0</v>
      </c>
      <c r="S24" s="32">
        <v>0</v>
      </c>
      <c r="T24" s="32">
        <v>0</v>
      </c>
      <c r="AD24" s="6">
        <v>512</v>
      </c>
      <c r="AE24" s="6"/>
    </row>
    <row r="25" spans="1:31" x14ac:dyDescent="0.3">
      <c r="A25" s="6">
        <v>124</v>
      </c>
      <c r="B25" s="6" t="s">
        <v>231</v>
      </c>
      <c r="C25" s="6" t="s">
        <v>259</v>
      </c>
      <c r="D25" s="6" t="s">
        <v>286</v>
      </c>
      <c r="E25" s="21" t="s">
        <v>206</v>
      </c>
      <c r="F25" s="21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31">
        <f>INDEX('카드 태그 계산기'!C:C,MATCH('02.CardData'!A25,'카드 태그 계산기'!A:A,0))</f>
        <v>128</v>
      </c>
      <c r="N25" s="6">
        <v>0</v>
      </c>
      <c r="O25" s="6">
        <v>0</v>
      </c>
      <c r="P25" s="6">
        <v>0</v>
      </c>
      <c r="Q25" s="32">
        <v>0</v>
      </c>
      <c r="R25" s="32">
        <v>0</v>
      </c>
      <c r="S25" s="32">
        <v>0</v>
      </c>
      <c r="T25" s="32">
        <v>0</v>
      </c>
      <c r="AD25" s="6">
        <v>1023</v>
      </c>
      <c r="AE25" s="6" t="s">
        <v>317</v>
      </c>
    </row>
    <row r="26" spans="1:31" x14ac:dyDescent="0.3">
      <c r="A26" s="6">
        <v>125</v>
      </c>
      <c r="B26" s="6" t="s">
        <v>232</v>
      </c>
      <c r="C26" s="6" t="s">
        <v>260</v>
      </c>
      <c r="D26" s="6" t="s">
        <v>287</v>
      </c>
      <c r="E26" s="21" t="s">
        <v>207</v>
      </c>
      <c r="F26" s="21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31">
        <f>INDEX('카드 태그 계산기'!C:C,MATCH('02.CardData'!A26,'카드 태그 계산기'!A:A,0))</f>
        <v>128</v>
      </c>
      <c r="N26" s="6">
        <v>0</v>
      </c>
      <c r="O26" s="6">
        <v>0</v>
      </c>
      <c r="P26" s="6">
        <v>0</v>
      </c>
      <c r="Q26" s="32">
        <v>0</v>
      </c>
      <c r="R26" s="32">
        <v>0</v>
      </c>
      <c r="S26" s="32">
        <v>0</v>
      </c>
      <c r="T26" s="32">
        <v>0</v>
      </c>
    </row>
    <row r="27" spans="1:31" x14ac:dyDescent="0.3">
      <c r="A27" s="6">
        <v>126</v>
      </c>
      <c r="B27" s="6" t="s">
        <v>233</v>
      </c>
      <c r="C27" s="6" t="s">
        <v>261</v>
      </c>
      <c r="D27" s="6" t="s">
        <v>288</v>
      </c>
      <c r="E27" s="21" t="s">
        <v>208</v>
      </c>
      <c r="F27" s="21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3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32">
        <v>0</v>
      </c>
      <c r="R27" s="32">
        <v>0</v>
      </c>
      <c r="S27" s="32">
        <v>0</v>
      </c>
      <c r="T27" s="32">
        <v>0</v>
      </c>
    </row>
    <row r="28" spans="1:31" x14ac:dyDescent="0.3">
      <c r="A28" s="6">
        <v>127</v>
      </c>
      <c r="B28" s="6" t="s">
        <v>234</v>
      </c>
      <c r="C28" s="6" t="s">
        <v>262</v>
      </c>
      <c r="D28" s="6" t="s">
        <v>289</v>
      </c>
      <c r="E28" s="21" t="s">
        <v>209</v>
      </c>
      <c r="F28" s="21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3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32">
        <v>0</v>
      </c>
      <c r="R28" s="32">
        <v>0</v>
      </c>
      <c r="S28" s="32">
        <v>0</v>
      </c>
      <c r="T28" s="32">
        <v>0</v>
      </c>
    </row>
    <row r="29" spans="1:31" x14ac:dyDescent="0.3">
      <c r="A29" s="6">
        <v>128</v>
      </c>
      <c r="B29" s="6" t="s">
        <v>235</v>
      </c>
      <c r="C29" s="6" t="s">
        <v>304</v>
      </c>
      <c r="D29" s="6" t="s">
        <v>290</v>
      </c>
      <c r="E29" s="21" t="s">
        <v>210</v>
      </c>
      <c r="F29" s="21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3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32">
        <v>0</v>
      </c>
      <c r="R29" s="32">
        <v>0</v>
      </c>
      <c r="S29" s="32">
        <v>0</v>
      </c>
      <c r="T29" s="32">
        <v>0</v>
      </c>
    </row>
    <row r="30" spans="1:31" x14ac:dyDescent="0.3">
      <c r="A30" s="6">
        <v>129</v>
      </c>
      <c r="B30" s="6" t="s">
        <v>297</v>
      </c>
      <c r="C30" s="6" t="s">
        <v>305</v>
      </c>
      <c r="D30" s="6" t="s">
        <v>311</v>
      </c>
      <c r="E30" s="21" t="s">
        <v>291</v>
      </c>
      <c r="F30" s="21">
        <v>0</v>
      </c>
      <c r="G30" s="6">
        <v>1</v>
      </c>
      <c r="H30" s="6">
        <v>2</v>
      </c>
      <c r="I30" s="6">
        <v>1</v>
      </c>
      <c r="J30" s="6" t="s">
        <v>299</v>
      </c>
      <c r="K30" s="6">
        <v>3</v>
      </c>
      <c r="L30" s="6">
        <v>1</v>
      </c>
      <c r="M30" s="31">
        <f>INDEX('카드 태그 계산기'!C:C,MATCH('02.CardData'!A30,'카드 태그 계산기'!A:A,0))</f>
        <v>32</v>
      </c>
      <c r="N30" s="6">
        <v>0</v>
      </c>
      <c r="O30" s="6">
        <v>0</v>
      </c>
      <c r="P30" s="6">
        <v>0</v>
      </c>
      <c r="Q30" s="32">
        <v>0</v>
      </c>
      <c r="R30" s="32">
        <v>0</v>
      </c>
      <c r="S30" s="32">
        <v>0</v>
      </c>
      <c r="T30" s="32">
        <v>0</v>
      </c>
    </row>
    <row r="31" spans="1:31" x14ac:dyDescent="0.3">
      <c r="A31" s="6">
        <v>130</v>
      </c>
      <c r="B31" s="6" t="s">
        <v>299</v>
      </c>
      <c r="C31" s="6" t="s">
        <v>306</v>
      </c>
      <c r="D31" s="6" t="s">
        <v>312</v>
      </c>
      <c r="E31" s="21" t="s">
        <v>294</v>
      </c>
      <c r="F31" s="21">
        <v>0</v>
      </c>
      <c r="G31" s="6">
        <v>1</v>
      </c>
      <c r="H31" s="6">
        <v>2</v>
      </c>
      <c r="I31" s="6">
        <v>2</v>
      </c>
      <c r="J31" s="6" t="s">
        <v>297</v>
      </c>
      <c r="K31" s="6">
        <v>3</v>
      </c>
      <c r="L31" s="6">
        <v>1</v>
      </c>
      <c r="M31" s="31">
        <f>INDEX('카드 태그 계산기'!C:C,MATCH('02.CardData'!A31,'카드 태그 계산기'!A:A,0))</f>
        <v>32</v>
      </c>
      <c r="N31" s="6">
        <v>0</v>
      </c>
      <c r="O31" s="6">
        <v>0</v>
      </c>
      <c r="P31" s="6">
        <v>0</v>
      </c>
      <c r="Q31" s="32">
        <v>0</v>
      </c>
      <c r="R31" s="32">
        <v>0</v>
      </c>
      <c r="S31" s="32">
        <v>0</v>
      </c>
      <c r="T31" s="32">
        <v>0</v>
      </c>
    </row>
    <row r="32" spans="1:31" x14ac:dyDescent="0.3">
      <c r="A32" s="6">
        <v>131</v>
      </c>
      <c r="B32" s="6" t="s">
        <v>300</v>
      </c>
      <c r="C32" s="6" t="s">
        <v>307</v>
      </c>
      <c r="D32" s="6" t="s">
        <v>313</v>
      </c>
      <c r="E32" s="21" t="s">
        <v>292</v>
      </c>
      <c r="F32" s="21">
        <v>0</v>
      </c>
      <c r="G32" s="6">
        <v>1</v>
      </c>
      <c r="H32" s="6">
        <v>2</v>
      </c>
      <c r="I32" s="6">
        <v>1</v>
      </c>
      <c r="J32" s="6" t="s">
        <v>301</v>
      </c>
      <c r="K32" s="6">
        <v>3</v>
      </c>
      <c r="L32" s="6">
        <v>1</v>
      </c>
      <c r="M32" s="31">
        <f>INDEX('카드 태그 계산기'!C:C,MATCH('02.CardData'!A32,'카드 태그 계산기'!A:A,0))</f>
        <v>32</v>
      </c>
      <c r="N32" s="6">
        <v>0</v>
      </c>
      <c r="O32" s="6">
        <v>0</v>
      </c>
      <c r="P32" s="6">
        <v>0</v>
      </c>
      <c r="Q32" s="32">
        <v>0</v>
      </c>
      <c r="R32" s="32">
        <v>0</v>
      </c>
      <c r="S32" s="32">
        <v>0</v>
      </c>
      <c r="T32" s="32">
        <v>0</v>
      </c>
    </row>
    <row r="33" spans="1:24" x14ac:dyDescent="0.3">
      <c r="A33" s="6">
        <v>132</v>
      </c>
      <c r="B33" s="6" t="s">
        <v>301</v>
      </c>
      <c r="C33" s="6" t="s">
        <v>308</v>
      </c>
      <c r="D33" s="6" t="s">
        <v>314</v>
      </c>
      <c r="E33" s="21" t="s">
        <v>295</v>
      </c>
      <c r="F33" s="21">
        <v>0</v>
      </c>
      <c r="G33" s="6">
        <v>1</v>
      </c>
      <c r="H33" s="6">
        <v>2</v>
      </c>
      <c r="I33" s="6">
        <v>2</v>
      </c>
      <c r="J33" s="6" t="s">
        <v>300</v>
      </c>
      <c r="K33" s="6">
        <v>3</v>
      </c>
      <c r="L33" s="6">
        <v>1</v>
      </c>
      <c r="M33" s="31">
        <f>INDEX('카드 태그 계산기'!C:C,MATCH('02.CardData'!A33,'카드 태그 계산기'!A:A,0))</f>
        <v>32</v>
      </c>
      <c r="N33" s="6">
        <v>0</v>
      </c>
      <c r="O33" s="6">
        <v>0</v>
      </c>
      <c r="P33" s="6">
        <v>0</v>
      </c>
      <c r="Q33" s="32">
        <v>0</v>
      </c>
      <c r="R33" s="32">
        <v>0</v>
      </c>
      <c r="S33" s="32">
        <v>0</v>
      </c>
      <c r="T33" s="32">
        <v>0</v>
      </c>
    </row>
    <row r="34" spans="1:24" x14ac:dyDescent="0.3">
      <c r="A34" s="6">
        <v>133</v>
      </c>
      <c r="B34" s="6" t="s">
        <v>302</v>
      </c>
      <c r="C34" s="6" t="s">
        <v>309</v>
      </c>
      <c r="D34" s="6" t="s">
        <v>315</v>
      </c>
      <c r="E34" s="21" t="s">
        <v>293</v>
      </c>
      <c r="F34" s="21">
        <v>0</v>
      </c>
      <c r="G34" s="6">
        <v>1</v>
      </c>
      <c r="H34" s="6">
        <v>2</v>
      </c>
      <c r="I34" s="6">
        <v>1</v>
      </c>
      <c r="J34" s="6" t="s">
        <v>303</v>
      </c>
      <c r="K34" s="6">
        <v>3</v>
      </c>
      <c r="L34" s="6">
        <v>1</v>
      </c>
      <c r="M34" s="31">
        <f>INDEX('카드 태그 계산기'!C:C,MATCH('02.CardData'!A34,'카드 태그 계산기'!A:A,0))</f>
        <v>32</v>
      </c>
      <c r="N34" s="6">
        <v>0</v>
      </c>
      <c r="O34" s="6">
        <v>0</v>
      </c>
      <c r="P34" s="6">
        <v>0</v>
      </c>
      <c r="Q34" s="32">
        <v>0</v>
      </c>
      <c r="R34" s="32">
        <v>0</v>
      </c>
      <c r="S34" s="32">
        <v>0</v>
      </c>
      <c r="T34" s="32">
        <v>0</v>
      </c>
    </row>
    <row r="35" spans="1:24" x14ac:dyDescent="0.3">
      <c r="A35" s="6">
        <v>134</v>
      </c>
      <c r="B35" s="6" t="s">
        <v>303</v>
      </c>
      <c r="C35" s="6" t="s">
        <v>310</v>
      </c>
      <c r="D35" s="6" t="s">
        <v>316</v>
      </c>
      <c r="E35" s="21" t="s">
        <v>296</v>
      </c>
      <c r="F35" s="21">
        <v>0</v>
      </c>
      <c r="G35" s="6">
        <v>1</v>
      </c>
      <c r="H35" s="6">
        <v>2</v>
      </c>
      <c r="I35" s="6">
        <v>2</v>
      </c>
      <c r="J35" s="6" t="s">
        <v>302</v>
      </c>
      <c r="K35" s="6">
        <v>3</v>
      </c>
      <c r="L35" s="6">
        <v>1</v>
      </c>
      <c r="M35" s="31">
        <f>INDEX('카드 태그 계산기'!C:C,MATCH('02.CardData'!A35,'카드 태그 계산기'!A:A,0))</f>
        <v>32</v>
      </c>
      <c r="N35" s="6">
        <v>0</v>
      </c>
      <c r="O35" s="6">
        <v>0</v>
      </c>
      <c r="P35" s="6">
        <v>0</v>
      </c>
      <c r="Q35" s="32">
        <v>0</v>
      </c>
      <c r="R35" s="32">
        <v>0</v>
      </c>
      <c r="S35" s="32">
        <v>0</v>
      </c>
      <c r="T35" s="32">
        <v>0</v>
      </c>
    </row>
    <row r="42" spans="1:24" x14ac:dyDescent="0.3">
      <c r="X42" s="4" t="s">
        <v>179</v>
      </c>
    </row>
    <row r="43" spans="1:24" x14ac:dyDescent="0.3">
      <c r="X43" s="4" t="s">
        <v>181</v>
      </c>
    </row>
  </sheetData>
  <mergeCells count="8">
    <mergeCell ref="AA12:AB12"/>
    <mergeCell ref="AD9:AE9"/>
    <mergeCell ref="AD14:AE14"/>
    <mergeCell ref="W2:Y2"/>
    <mergeCell ref="AA3:AB3"/>
    <mergeCell ref="AA7:AB7"/>
    <mergeCell ref="AD3:AF3"/>
    <mergeCell ref="AD4:AE4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C2" sqref="C2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27" customWidth="1"/>
    <col min="15" max="24" width="0" style="2" hidden="1" customWidth="1"/>
    <col min="25" max="26" width="9" style="1"/>
    <col min="27" max="16384" width="9" style="26"/>
  </cols>
  <sheetData>
    <row r="1" spans="1:26" s="28" customFormat="1" x14ac:dyDescent="0.3">
      <c r="A1" s="2" t="s">
        <v>129</v>
      </c>
      <c r="B1" s="2" t="s">
        <v>111</v>
      </c>
      <c r="C1" s="2" t="s">
        <v>318</v>
      </c>
      <c r="D1" s="2">
        <v>1</v>
      </c>
      <c r="E1" s="2">
        <v>2</v>
      </c>
      <c r="F1" s="2">
        <v>3</v>
      </c>
      <c r="G1" s="2">
        <v>4</v>
      </c>
      <c r="H1" s="2">
        <v>5</v>
      </c>
      <c r="I1" s="2" t="s">
        <v>320</v>
      </c>
      <c r="J1" s="2" t="s">
        <v>322</v>
      </c>
      <c r="K1" s="2" t="s">
        <v>324</v>
      </c>
      <c r="L1" s="2">
        <v>9</v>
      </c>
      <c r="M1" s="2">
        <v>10</v>
      </c>
      <c r="N1" s="12"/>
      <c r="O1" s="29">
        <v>1</v>
      </c>
      <c r="P1" s="29">
        <v>2</v>
      </c>
      <c r="Q1" s="29">
        <v>3</v>
      </c>
      <c r="R1" s="29">
        <v>4</v>
      </c>
      <c r="S1" s="29">
        <v>5</v>
      </c>
      <c r="T1" s="29">
        <v>6</v>
      </c>
      <c r="U1" s="29">
        <v>7</v>
      </c>
      <c r="V1" s="29">
        <v>8</v>
      </c>
      <c r="W1" s="29">
        <v>9</v>
      </c>
      <c r="X1" s="2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약화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약화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약화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Z23"/>
  <sheetViews>
    <sheetView topLeftCell="B1" workbookViewId="0">
      <selection activeCell="C46" sqref="C46"/>
    </sheetView>
  </sheetViews>
  <sheetFormatPr defaultRowHeight="12" x14ac:dyDescent="0.3"/>
  <cols>
    <col min="1" max="1" width="9" style="6"/>
    <col min="2" max="2" width="10.625" style="6" bestFit="1" customWidth="1"/>
    <col min="3" max="3" width="10.625" style="6" customWidth="1"/>
    <col min="4" max="4" width="18.375" style="7" customWidth="1"/>
    <col min="5" max="5" width="95" style="7" bestFit="1" customWidth="1"/>
    <col min="6" max="15" width="9" style="6"/>
    <col min="16" max="16" width="3" style="5" customWidth="1"/>
    <col min="17" max="25" width="13.125" style="10" bestFit="1" customWidth="1"/>
    <col min="26" max="26" width="14.125" style="10" bestFit="1" customWidth="1"/>
    <col min="27" max="16384" width="9" style="4"/>
  </cols>
  <sheetData>
    <row r="1" spans="1:26" x14ac:dyDescent="0.3">
      <c r="A1" s="2" t="s">
        <v>9</v>
      </c>
      <c r="B1" s="2" t="s">
        <v>8</v>
      </c>
      <c r="C1" s="2" t="s">
        <v>325</v>
      </c>
      <c r="D1" s="8" t="s">
        <v>10</v>
      </c>
      <c r="E1" s="8" t="s">
        <v>43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2" t="s">
        <v>20</v>
      </c>
      <c r="Q1" s="9" t="s">
        <v>11</v>
      </c>
      <c r="R1" s="9" t="s">
        <v>12</v>
      </c>
      <c r="S1" s="9" t="s">
        <v>13</v>
      </c>
      <c r="T1" s="9" t="s">
        <v>14</v>
      </c>
      <c r="U1" s="9" t="s">
        <v>15</v>
      </c>
      <c r="V1" s="9" t="s">
        <v>16</v>
      </c>
      <c r="W1" s="9" t="s">
        <v>17</v>
      </c>
      <c r="X1" s="9" t="s">
        <v>18</v>
      </c>
      <c r="Y1" s="9" t="s">
        <v>19</v>
      </c>
      <c r="Z1" s="9" t="s">
        <v>20</v>
      </c>
    </row>
    <row r="2" spans="1:26" x14ac:dyDescent="0.3">
      <c r="A2" s="6" t="s">
        <v>21</v>
      </c>
      <c r="B2" s="6" t="s">
        <v>326</v>
      </c>
      <c r="C2" s="6" t="s">
        <v>348</v>
      </c>
      <c r="D2" s="7" t="s">
        <v>44</v>
      </c>
      <c r="E2" s="7" t="s">
        <v>45</v>
      </c>
      <c r="F2" s="10">
        <v>3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Q2" s="10" t="s">
        <v>88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</row>
    <row r="3" spans="1:26" x14ac:dyDescent="0.3">
      <c r="A3" s="6" t="s">
        <v>22</v>
      </c>
      <c r="B3" s="6" t="s">
        <v>327</v>
      </c>
      <c r="C3" s="6" t="s">
        <v>349</v>
      </c>
      <c r="D3" s="7" t="s">
        <v>46</v>
      </c>
      <c r="E3" s="7" t="s">
        <v>47</v>
      </c>
      <c r="F3" s="10">
        <v>1.25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Q3" s="10" t="s">
        <v>89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</row>
    <row r="4" spans="1:26" x14ac:dyDescent="0.3">
      <c r="A4" s="6" t="s">
        <v>23</v>
      </c>
      <c r="B4" s="6" t="s">
        <v>328</v>
      </c>
      <c r="C4" s="6" t="s">
        <v>350</v>
      </c>
      <c r="D4" s="7" t="s">
        <v>48</v>
      </c>
      <c r="E4" s="7" t="s">
        <v>49</v>
      </c>
      <c r="F4" s="10">
        <v>3000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Q4" s="10" t="s">
        <v>90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</row>
    <row r="5" spans="1:26" x14ac:dyDescent="0.3">
      <c r="A5" s="6" t="s">
        <v>24</v>
      </c>
      <c r="B5" s="6" t="s">
        <v>329</v>
      </c>
      <c r="C5" s="6" t="s">
        <v>351</v>
      </c>
      <c r="D5" s="7" t="s">
        <v>50</v>
      </c>
      <c r="E5" s="7" t="s">
        <v>51</v>
      </c>
      <c r="F5" s="10">
        <v>1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Q5" s="10" t="s">
        <v>91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</row>
    <row r="6" spans="1:26" x14ac:dyDescent="0.3">
      <c r="A6" s="6" t="s">
        <v>25</v>
      </c>
      <c r="B6" s="6" t="s">
        <v>330</v>
      </c>
      <c r="C6" s="6" t="s">
        <v>352</v>
      </c>
      <c r="D6" s="7" t="s">
        <v>52</v>
      </c>
      <c r="E6" s="7" t="s">
        <v>53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</row>
    <row r="7" spans="1:26" x14ac:dyDescent="0.3">
      <c r="A7" s="6" t="s">
        <v>26</v>
      </c>
      <c r="B7" s="6" t="s">
        <v>331</v>
      </c>
      <c r="C7" s="6" t="s">
        <v>353</v>
      </c>
      <c r="D7" s="7" t="s">
        <v>54</v>
      </c>
      <c r="E7" s="7" t="s">
        <v>55</v>
      </c>
      <c r="F7" s="10">
        <v>10</v>
      </c>
      <c r="G7" s="10">
        <v>5</v>
      </c>
      <c r="H7" s="10">
        <v>50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Q7" s="10" t="s">
        <v>91</v>
      </c>
      <c r="R7" s="10" t="s">
        <v>92</v>
      </c>
      <c r="S7" s="10" t="s">
        <v>105</v>
      </c>
      <c r="T7" s="10">
        <v>0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</row>
    <row r="8" spans="1:26" x14ac:dyDescent="0.3">
      <c r="A8" s="6" t="s">
        <v>27</v>
      </c>
      <c r="B8" s="6" t="s">
        <v>332</v>
      </c>
      <c r="C8" s="6" t="s">
        <v>354</v>
      </c>
      <c r="D8" s="7" t="s">
        <v>56</v>
      </c>
      <c r="E8" s="7" t="s">
        <v>57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Q8" s="10" t="s">
        <v>106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</row>
    <row r="9" spans="1:26" x14ac:dyDescent="0.3">
      <c r="A9" s="6" t="s">
        <v>28</v>
      </c>
      <c r="B9" s="6" t="s">
        <v>333</v>
      </c>
      <c r="C9" s="6" t="s">
        <v>355</v>
      </c>
      <c r="D9" s="7" t="s">
        <v>58</v>
      </c>
      <c r="E9" s="7" t="s">
        <v>59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</row>
    <row r="10" spans="1:26" x14ac:dyDescent="0.3">
      <c r="A10" s="6" t="s">
        <v>29</v>
      </c>
      <c r="B10" s="6" t="s">
        <v>334</v>
      </c>
      <c r="C10" s="6" t="s">
        <v>356</v>
      </c>
      <c r="D10" s="7" t="s">
        <v>60</v>
      </c>
      <c r="E10" s="7" t="s">
        <v>61</v>
      </c>
      <c r="F10" s="10">
        <v>3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Q10" s="10" t="s">
        <v>89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</row>
    <row r="11" spans="1:26" x14ac:dyDescent="0.3">
      <c r="A11" s="6" t="s">
        <v>30</v>
      </c>
      <c r="B11" s="6" t="s">
        <v>335</v>
      </c>
      <c r="C11" s="6" t="s">
        <v>357</v>
      </c>
      <c r="D11" s="7" t="s">
        <v>62</v>
      </c>
      <c r="E11" s="7" t="s">
        <v>63</v>
      </c>
      <c r="F11" s="10">
        <v>1.5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Q11" s="10" t="s">
        <v>89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</row>
    <row r="12" spans="1:26" x14ac:dyDescent="0.3">
      <c r="A12" s="6" t="s">
        <v>31</v>
      </c>
      <c r="B12" s="6" t="s">
        <v>336</v>
      </c>
      <c r="C12" s="6" t="s">
        <v>358</v>
      </c>
      <c r="D12" s="7" t="s">
        <v>64</v>
      </c>
      <c r="E12" s="7" t="s">
        <v>65</v>
      </c>
      <c r="F12" s="10">
        <v>3000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Q12" s="10" t="s">
        <v>90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</row>
    <row r="13" spans="1:26" x14ac:dyDescent="0.3">
      <c r="A13" s="6" t="s">
        <v>32</v>
      </c>
      <c r="B13" s="6" t="s">
        <v>337</v>
      </c>
      <c r="C13" s="6" t="s">
        <v>359</v>
      </c>
      <c r="D13" s="7" t="s">
        <v>66</v>
      </c>
      <c r="E13" s="7" t="s">
        <v>67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</row>
    <row r="14" spans="1:26" x14ac:dyDescent="0.3">
      <c r="A14" s="6" t="s">
        <v>33</v>
      </c>
      <c r="B14" s="6" t="s">
        <v>338</v>
      </c>
      <c r="C14" s="6" t="s">
        <v>360</v>
      </c>
      <c r="D14" s="7" t="s">
        <v>68</v>
      </c>
      <c r="E14" s="7" t="s">
        <v>69</v>
      </c>
      <c r="F14" s="10">
        <v>2.25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Q14" s="10" t="s">
        <v>89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</row>
    <row r="15" spans="1:26" x14ac:dyDescent="0.3">
      <c r="A15" s="6" t="s">
        <v>34</v>
      </c>
      <c r="B15" s="6" t="s">
        <v>339</v>
      </c>
      <c r="C15" s="6" t="s">
        <v>361</v>
      </c>
      <c r="D15" s="7" t="s">
        <v>70</v>
      </c>
      <c r="E15" s="7" t="s">
        <v>71</v>
      </c>
      <c r="F15" s="10">
        <v>0.1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Q15" s="10" t="s">
        <v>104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</row>
    <row r="16" spans="1:26" x14ac:dyDescent="0.3">
      <c r="A16" s="6" t="s">
        <v>35</v>
      </c>
      <c r="B16" s="6" t="s">
        <v>340</v>
      </c>
      <c r="C16" s="6" t="s">
        <v>362</v>
      </c>
      <c r="D16" s="7" t="s">
        <v>72</v>
      </c>
      <c r="E16" s="7" t="s">
        <v>73</v>
      </c>
      <c r="F16" s="10">
        <v>3000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Q16" s="10" t="s">
        <v>90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</row>
    <row r="17" spans="1:26" x14ac:dyDescent="0.3">
      <c r="A17" s="6" t="s">
        <v>36</v>
      </c>
      <c r="B17" s="6" t="s">
        <v>341</v>
      </c>
      <c r="C17" s="6" t="s">
        <v>363</v>
      </c>
      <c r="D17" s="7" t="s">
        <v>74</v>
      </c>
      <c r="E17" s="7" t="s">
        <v>75</v>
      </c>
      <c r="F17" s="10">
        <v>3000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Q17" s="10" t="s">
        <v>90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</row>
    <row r="18" spans="1:26" x14ac:dyDescent="0.3">
      <c r="A18" s="6" t="s">
        <v>37</v>
      </c>
      <c r="B18" s="6" t="s">
        <v>342</v>
      </c>
      <c r="C18" s="6" t="s">
        <v>364</v>
      </c>
      <c r="D18" s="7" t="s">
        <v>76</v>
      </c>
      <c r="E18" s="7" t="s">
        <v>77</v>
      </c>
      <c r="F18" s="10">
        <v>5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Q18" s="10" t="s">
        <v>88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</row>
    <row r="19" spans="1:26" x14ac:dyDescent="0.3">
      <c r="A19" s="6" t="s">
        <v>38</v>
      </c>
      <c r="B19" s="6" t="s">
        <v>343</v>
      </c>
      <c r="C19" s="6" t="s">
        <v>365</v>
      </c>
      <c r="D19" s="7" t="s">
        <v>78</v>
      </c>
      <c r="E19" s="7" t="s">
        <v>79</v>
      </c>
      <c r="F19" s="10">
        <v>3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Q19" s="10" t="s">
        <v>91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</row>
    <row r="20" spans="1:26" x14ac:dyDescent="0.3">
      <c r="A20" s="6" t="s">
        <v>39</v>
      </c>
      <c r="B20" s="6" t="s">
        <v>344</v>
      </c>
      <c r="C20" s="6" t="s">
        <v>366</v>
      </c>
      <c r="D20" s="7" t="s">
        <v>80</v>
      </c>
      <c r="E20" s="7" t="s">
        <v>81</v>
      </c>
      <c r="F20" s="10">
        <v>2.5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Q20" s="10" t="s">
        <v>89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</row>
    <row r="21" spans="1:26" x14ac:dyDescent="0.3">
      <c r="A21" s="6" t="s">
        <v>40</v>
      </c>
      <c r="B21" s="6" t="s">
        <v>345</v>
      </c>
      <c r="C21" s="6" t="s">
        <v>367</v>
      </c>
      <c r="D21" s="7" t="s">
        <v>82</v>
      </c>
      <c r="E21" s="7" t="s">
        <v>83</v>
      </c>
      <c r="F21" s="10">
        <v>7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Q21" s="10" t="s">
        <v>93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</row>
    <row r="22" spans="1:26" x14ac:dyDescent="0.3">
      <c r="A22" s="6" t="s">
        <v>41</v>
      </c>
      <c r="B22" s="6" t="s">
        <v>346</v>
      </c>
      <c r="C22" s="6" t="s">
        <v>368</v>
      </c>
      <c r="D22" s="7" t="s">
        <v>84</v>
      </c>
      <c r="E22" s="7" t="s">
        <v>85</v>
      </c>
      <c r="F22" s="10">
        <v>2500</v>
      </c>
      <c r="G22" s="10">
        <v>2000</v>
      </c>
      <c r="H22" s="10">
        <v>1500</v>
      </c>
      <c r="I22" s="10">
        <v>1300</v>
      </c>
      <c r="J22" s="10">
        <v>1100</v>
      </c>
      <c r="K22" s="10">
        <v>1000</v>
      </c>
      <c r="L22" s="10">
        <v>700</v>
      </c>
      <c r="M22" s="10">
        <v>500</v>
      </c>
      <c r="N22" s="10">
        <v>300</v>
      </c>
      <c r="O22" s="10">
        <v>100</v>
      </c>
      <c r="Q22" s="10" t="s">
        <v>94</v>
      </c>
      <c r="R22" s="10" t="s">
        <v>95</v>
      </c>
      <c r="S22" s="10" t="s">
        <v>96</v>
      </c>
      <c r="T22" s="10" t="s">
        <v>97</v>
      </c>
      <c r="U22" s="10" t="s">
        <v>98</v>
      </c>
      <c r="V22" s="10" t="s">
        <v>99</v>
      </c>
      <c r="W22" s="10" t="s">
        <v>100</v>
      </c>
      <c r="X22" s="10" t="s">
        <v>101</v>
      </c>
      <c r="Y22" s="10" t="s">
        <v>102</v>
      </c>
      <c r="Z22" s="10" t="s">
        <v>103</v>
      </c>
    </row>
    <row r="23" spans="1:26" x14ac:dyDescent="0.3">
      <c r="A23" s="6" t="s">
        <v>42</v>
      </c>
      <c r="B23" s="6" t="s">
        <v>347</v>
      </c>
      <c r="C23" s="6" t="s">
        <v>369</v>
      </c>
      <c r="D23" s="7" t="s">
        <v>86</v>
      </c>
      <c r="E23" s="7" t="s">
        <v>87</v>
      </c>
      <c r="F23" s="10">
        <v>2000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Q23" s="10" t="s">
        <v>90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P1"/>
  <sheetViews>
    <sheetView workbookViewId="0">
      <selection activeCell="F28" sqref="F28"/>
    </sheetView>
  </sheetViews>
  <sheetFormatPr defaultRowHeight="12" x14ac:dyDescent="0.3"/>
  <cols>
    <col min="1" max="15" width="9" style="3"/>
    <col min="16" max="16" width="2.875" style="27" customWidth="1"/>
    <col min="17" max="16384" width="9" style="1"/>
  </cols>
  <sheetData>
    <row r="1" spans="1:16" s="11" customFormat="1" x14ac:dyDescent="0.3">
      <c r="A1" s="2" t="s">
        <v>129</v>
      </c>
      <c r="B1" s="2"/>
      <c r="C1" s="2"/>
      <c r="D1" s="2"/>
      <c r="E1" s="2"/>
      <c r="F1" s="2" t="s">
        <v>169</v>
      </c>
      <c r="G1" s="2" t="s">
        <v>170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177</v>
      </c>
      <c r="O1" s="2" t="s">
        <v>20</v>
      </c>
      <c r="P1" s="12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2025-06-25T22:23:34Z</dcterms:modified>
</cp:coreProperties>
</file>
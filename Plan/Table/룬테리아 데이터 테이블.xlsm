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2E012FC1-3B7F-4ED1-8C63-5CDACF718E3B}" xr6:coauthVersionLast="47" xr6:coauthVersionMax="47" xr10:uidLastSave="{00000000-0000-0000-0000-000000000000}"/>
  <bookViews>
    <workbookView xWindow="-14505" yWindow="5400" windowWidth="14610" windowHeight="15585" firstSheet="2" activeTab="4" xr2:uid="{45462037-102E-4AFE-BBB3-3E04BFBB3D4E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  <sheet name="11.RequestData" sheetId="13" r:id="rId13"/>
    <sheet name="12.RequestWeightData" sheetId="14" r:id="rId14"/>
    <sheet name="13.BoxData" sheetId="16" r:id="rId15"/>
    <sheet name="14.BoxItemData" sheetId="1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3" i="9" l="1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45" i="9"/>
  <c r="F146" i="9"/>
  <c r="F147" i="9"/>
  <c r="F148" i="9"/>
  <c r="F149" i="9"/>
  <c r="F150" i="9"/>
  <c r="F151" i="9"/>
  <c r="F152" i="9"/>
  <c r="A145" i="9"/>
  <c r="A146" i="9"/>
  <c r="A147" i="9"/>
  <c r="A148" i="9"/>
  <c r="A149" i="9"/>
  <c r="A150" i="9"/>
  <c r="A151" i="9"/>
  <c r="A152" i="9"/>
  <c r="F137" i="9"/>
  <c r="F138" i="9"/>
  <c r="F139" i="9"/>
  <c r="F140" i="9"/>
  <c r="F141" i="9"/>
  <c r="F142" i="9"/>
  <c r="F143" i="9"/>
  <c r="F144" i="9"/>
  <c r="A137" i="9"/>
  <c r="A138" i="9"/>
  <c r="A139" i="9"/>
  <c r="A140" i="9"/>
  <c r="A141" i="9"/>
  <c r="A142" i="9"/>
  <c r="A143" i="9"/>
  <c r="A144" i="9"/>
  <c r="A129" i="9"/>
  <c r="A130" i="9"/>
  <c r="A131" i="9"/>
  <c r="A132" i="9"/>
  <c r="A133" i="9"/>
  <c r="A134" i="9"/>
  <c r="A135" i="9"/>
  <c r="A136" i="9"/>
  <c r="F129" i="9"/>
  <c r="F130" i="9"/>
  <c r="F131" i="9"/>
  <c r="F132" i="9"/>
  <c r="F133" i="9"/>
  <c r="F134" i="9"/>
  <c r="F135" i="9"/>
  <c r="F136" i="9"/>
  <c r="D3" i="15"/>
  <c r="D4" i="15"/>
  <c r="D5" i="15"/>
  <c r="D6" i="15"/>
  <c r="D7" i="15"/>
  <c r="D8" i="15"/>
  <c r="D2" i="15"/>
  <c r="A117" i="9"/>
  <c r="A118" i="9"/>
  <c r="A119" i="9"/>
  <c r="A120" i="9"/>
  <c r="A121" i="9"/>
  <c r="A122" i="9"/>
  <c r="A123" i="9"/>
  <c r="A124" i="9"/>
  <c r="A125" i="9"/>
  <c r="A126" i="9"/>
  <c r="A127" i="9"/>
  <c r="A128" i="9"/>
  <c r="F117" i="9"/>
  <c r="F128" i="9"/>
  <c r="F127" i="9"/>
  <c r="F126" i="9"/>
  <c r="F125" i="9"/>
  <c r="F124" i="9"/>
  <c r="F123" i="9"/>
  <c r="F122" i="9"/>
  <c r="F121" i="9"/>
  <c r="F120" i="9"/>
  <c r="F119" i="9"/>
  <c r="F118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F116" i="9"/>
  <c r="A116" i="9"/>
  <c r="F115" i="9"/>
  <c r="A115" i="9"/>
  <c r="F114" i="9"/>
  <c r="A114" i="9"/>
  <c r="F113" i="9"/>
  <c r="A113" i="9"/>
  <c r="F112" i="9"/>
  <c r="A112" i="9"/>
  <c r="F111" i="9"/>
  <c r="A111" i="9"/>
  <c r="F110" i="9"/>
  <c r="A110" i="9"/>
  <c r="F109" i="9"/>
  <c r="A109" i="9"/>
  <c r="F108" i="9"/>
  <c r="A108" i="9"/>
  <c r="F107" i="9"/>
  <c r="A107" i="9"/>
  <c r="F106" i="9"/>
  <c r="A106" i="9"/>
  <c r="F105" i="9"/>
  <c r="A105" i="9"/>
  <c r="F104" i="9"/>
  <c r="A104" i="9"/>
  <c r="F103" i="9"/>
  <c r="A103" i="9"/>
  <c r="F102" i="9"/>
  <c r="A102" i="9"/>
  <c r="F101" i="9"/>
  <c r="A101" i="9"/>
  <c r="F100" i="9"/>
  <c r="A100" i="9"/>
  <c r="F99" i="9"/>
  <c r="A99" i="9"/>
  <c r="F98" i="9"/>
  <c r="A98" i="9"/>
  <c r="F97" i="9"/>
  <c r="A97" i="9"/>
  <c r="F96" i="9"/>
  <c r="A96" i="9"/>
  <c r="F95" i="9"/>
  <c r="A95" i="9"/>
  <c r="F94" i="9"/>
  <c r="A94" i="9"/>
  <c r="F93" i="9"/>
  <c r="A93" i="9"/>
  <c r="F92" i="9"/>
  <c r="A92" i="9"/>
  <c r="F91" i="9"/>
  <c r="A91" i="9"/>
  <c r="F90" i="9"/>
  <c r="A90" i="9"/>
  <c r="F89" i="9"/>
  <c r="A89" i="9"/>
  <c r="F88" i="9"/>
  <c r="A88" i="9"/>
  <c r="F87" i="9"/>
  <c r="A87" i="9"/>
  <c r="F86" i="9"/>
  <c r="A86" i="9"/>
  <c r="F85" i="9"/>
  <c r="A85" i="9"/>
  <c r="F84" i="9"/>
  <c r="A84" i="9"/>
  <c r="F83" i="9"/>
  <c r="A83" i="9"/>
  <c r="F82" i="9"/>
  <c r="A82" i="9"/>
  <c r="F81" i="9"/>
  <c r="A81" i="9"/>
  <c r="F80" i="9"/>
  <c r="A80" i="9"/>
  <c r="F79" i="9"/>
  <c r="A79" i="9"/>
  <c r="F78" i="9"/>
  <c r="A78" i="9"/>
  <c r="F77" i="9"/>
  <c r="A77" i="9"/>
  <c r="F76" i="9"/>
  <c r="A76" i="9"/>
  <c r="F75" i="9"/>
  <c r="A75" i="9"/>
  <c r="F74" i="9"/>
  <c r="A74" i="9"/>
  <c r="F73" i="9"/>
  <c r="A73" i="9"/>
  <c r="F72" i="9"/>
  <c r="A72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<sst xmlns="http://schemas.openxmlformats.org/spreadsheetml/2006/main" count="2013" uniqueCount="1370">
  <si>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</si>
  <si>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</si>
  <si>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</si>
  <si>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</si>
  <si>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</si>
  <si>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</si>
  <si>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</si>
  <si>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</si>
  <si>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</si>
  <si>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</si>
  <si>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</si>
  <si>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</si>
  <si>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</si>
  <si>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</si>
  <si>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</si>
  <si>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</si>
  <si>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</si>
  <si>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</si>
  <si>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</si>
  <si>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</si>
  <si>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</si>
  <si>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</si>
  <si>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</si>
  <si>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</si>
  <si>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</si>
  <si>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</si>
  <si>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</si>
  <si>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</si>
  <si>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</si>
  <si>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</si>
  <si>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</si>
  <si>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</si>
  <si>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</si>
  <si>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</si>
  <si>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</si>
  <si>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</si>
  <si>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</si>
  <si>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</si>
  <si>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</si>
  <si>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</si>
  <si>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</si>
  <si>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</si>
  <si>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</si>
  <si>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</si>
  <si>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</si>
  <si>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</si>
  <si>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</si>
  <si>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</si>
  <si>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</si>
  <si>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</si>
  <si>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</si>
  <si>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</si>
  <si>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</si>
  <si>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</si>
  <si>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</si>
  <si>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</si>
  <si>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</si>
  <si>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</si>
  <si>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</si>
  <si>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</si>
  <si>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</si>
  <si>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</si>
  <si>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</si>
  <si>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</si>
  <si>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</si>
  <si>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</si>
  <si>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</si>
  <si>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</si>
  <si>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</si>
  <si>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</si>
  <si>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</si>
  <si>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</si>
  <si>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</si>
  <si>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</si>
  <si>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</si>
  <si>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</si>
  <si>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</si>
  <si>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</si>
  <si>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</si>
  <si>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</si>
  <si>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</si>
  <si>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</si>
  <si>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</si>
  <si>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</si>
  <si>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</si>
  <si>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</si>
  <si>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</si>
  <si>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</si>
  <si>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</si>
  <si>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</si>
  <si>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</si>
  <si>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</si>
  <si>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</si>
  <si>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</si>
  <si>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</si>
  <si>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</si>
  <si>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</si>
  <si>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</si>
  <si>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</si>
  <si>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</si>
  <si>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</si>
  <si>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</si>
  <si>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</si>
  <si>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</si>
  <si>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</si>
  <si>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</si>
  <si>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</si>
  <si>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</si>
  <si>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</si>
  <si>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</si>
  <si>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</si>
  <si>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</si>
  <si>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</si>
  <si>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</si>
  <si>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</si>
  <si>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</si>
  <si>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</si>
  <si>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</si>
  <si>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</si>
  <si>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</si>
  <si>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</si>
  <si>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</si>
  <si>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</si>
  <si>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</si>
  <si>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</si>
  <si>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</si>
  <si>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</si>
  <si>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</si>
  <si>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</si>
  <si>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</si>
  <si>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</si>
  <si>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</si>
  <si>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</si>
  <si>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</si>
  <si>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</si>
  <si>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</si>
  <si>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</si>
  <si>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</si>
  <si>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</si>
  <si>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</si>
  <si>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</si>
  <si>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</si>
  <si>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</si>
  <si>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</si>
  <si>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</si>
  <si>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</si>
  <si>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</si>
  <si>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</si>
  <si>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</si>
  <si>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</si>
  <si>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</si>
  <si>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</si>
  <si>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</si>
  <si>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</si>
  <si>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</si>
  <si>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</si>
  <si>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</si>
  <si>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</si>
  <si>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</si>
  <si>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</si>
  <si>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</si>
  <si>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</si>
  <si>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</si>
  <si>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</si>
  <si>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</si>
  <si>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</si>
  <si>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</si>
  <si>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</si>
  <si>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</si>
  <si>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</si>
  <si>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</si>
  <si>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</si>
  <si>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</si>
  <si>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</si>
  <si>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</si>
  <si>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</si>
  <si>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</si>
  <si>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</si>
  <si>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</si>
  <si>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</si>
  <si>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</si>
  <si>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</si>
  <si>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</si>
  <si>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</si>
  <si>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</si>
  <si>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</si>
  <si>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</si>
  <si>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</si>
  <si>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</si>
  <si>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</si>
  <si>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</si>
  <si>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</si>
  <si>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</si>
  <si>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</si>
  <si>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</si>
  <si>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</si>
  <si>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</si>
  <si>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</si>
  <si>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</si>
  <si>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</si>
  <si>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</si>
  <si>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</si>
  <si>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</si>
  <si>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</si>
  <si>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</si>
  <si>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</si>
  <si>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</si>
  <si>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</si>
  <si>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</si>
  <si>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</si>
  <si>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</si>
  <si>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</si>
  <si>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</si>
  <si>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</si>
  <si>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</si>
  <si>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</si>
  <si>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</si>
  <si>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</si>
  <si>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</si>
  <si>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</si>
  <si>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</si>
  <si>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</si>
  <si>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</si>
  <si>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</si>
  <si>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</si>
  <si>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</si>
  <si>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</si>
  <si>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</si>
  <si>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</si>
  <si>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</si>
  <si>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</si>
  <si>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</si>
  <si>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</si>
  <si>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</si>
  <si>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</si>
  <si>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</si>
  <si>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</si>
  <si>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</si>
  <si>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</si>
  <si>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</si>
  <si>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</si>
  <si>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</si>
  <si>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</si>
  <si>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</si>
  <si>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</si>
  <si>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</si>
  <si>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</si>
  <si>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</si>
  <si>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</si>
  <si>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</si>
  <si>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</si>
  <si>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</si>
  <si>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</si>
  <si>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</si>
  <si>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</si>
  <si>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</si>
  <si>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</si>
  <si>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</si>
  <si>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</si>
  <si>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</si>
  <si>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</si>
  <si>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</si>
  <si>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</si>
  <si>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</si>
  <si>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</si>
  <si>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</si>
  <si>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</si>
  <si>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</si>
  <si>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</si>
  <si>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</si>
  <si>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</si>
  <si>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</si>
  <si>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</si>
  <si>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</si>
  <si>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</si>
  <si>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</si>
  <si>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</si>
  <si>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</si>
  <si>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</si>
  <si>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</si>
  <si>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</si>
  <si>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</si>
  <si>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</si>
  <si>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</si>
  <si>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</si>
  <si>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</si>
  <si>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</si>
  <si>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</si>
  <si>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</si>
  <si>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</si>
  <si>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</si>
  <si>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</si>
  <si>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</si>
  <si>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</si>
  <si>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</si>
  <si>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</si>
  <si>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</si>
  <si>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</si>
  <si>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</si>
  <si>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</si>
  <si>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</si>
  <si>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</si>
  <si>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</si>
  <si>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</si>
  <si>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</si>
  <si>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</si>
  <si>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</si>
  <si>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</si>
  <si>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</si>
  <si>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</si>
  <si>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</si>
  <si>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</si>
  <si>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</si>
  <si>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</si>
  <si>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</si>
  <si>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</si>
  <si>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</si>
  <si>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</si>
  <si>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</si>
  <si>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</si>
  <si>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</si>
  <si>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</si>
  <si>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</si>
  <si>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</si>
  <si>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</si>
  <si>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</si>
  <si>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</si>
  <si>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</si>
  <si>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</si>
  <si>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</si>
  <si>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</si>
  <si>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</si>
  <si>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</si>
  <si>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</si>
  <si>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</si>
  <si>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</si>
  <si>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</si>
  <si>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</si>
  <si>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</si>
  <si>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</si>
  <si>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</si>
  <si>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</si>
  <si>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</si>
  <si>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</si>
  <si>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</si>
  <si>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</si>
  <si>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</si>
  <si>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</si>
  <si>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</si>
  <si>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</si>
  <si>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</si>
  <si>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</si>
  <si>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</si>
  <si>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</si>
  <si>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</si>
  <si>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</si>
  <si>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</si>
  <si>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</si>
  <si>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</si>
  <si>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</si>
  <si>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</si>
  <si>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</si>
  <si>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</si>
  <si>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</si>
  <si>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</si>
  <si>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</si>
  <si>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</si>
  <si>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</si>
  <si>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</si>
  <si>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</si>
  <si>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</si>
  <si>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</si>
  <si>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</si>
  <si>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</si>
  <si>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</si>
  <si>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</si>
  <si>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</si>
  <si>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</si>
  <si>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</si>
  <si>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</si>
  <si>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</si>
  <si>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</si>
  <si>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</si>
  <si>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</si>
  <si>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</si>
  <si>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</si>
  <si>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</si>
  <si>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</si>
  <si>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</si>
  <si>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</si>
  <si>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</si>
  <si>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</si>
  <si>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</si>
  <si>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</si>
  <si>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</si>
  <si>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</si>
  <si>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</si>
  <si>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</si>
  <si>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</si>
  <si>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</si>
  <si>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</si>
  <si>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</si>
  <si>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</si>
  <si>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</si>
  <si>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</si>
  <si>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</si>
  <si>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</si>
  <si>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</si>
  <si>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</si>
  <si>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</si>
  <si>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</si>
  <si>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</si>
  <si>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</si>
  <si>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</si>
  <si>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</si>
  <si>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</si>
  <si>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</si>
  <si>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</si>
  <si>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</si>
  <si>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</si>
  <si>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</si>
  <si>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</si>
  <si>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</si>
  <si>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</si>
  <si>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</si>
  <si>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</si>
  <si>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</si>
  <si>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</si>
  <si>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</si>
  <si>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</si>
  <si>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</si>
  <si>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</si>
  <si>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</si>
  <si>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</si>
  <si>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</si>
  <si>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</si>
  <si>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</si>
  <si>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</si>
  <si>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</si>
  <si>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</si>
  <si>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</si>
  <si>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</si>
  <si>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</si>
  <si>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</si>
  <si>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</si>
  <si>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</si>
  <si>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</si>
  <si>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</si>
  <si>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</si>
  <si>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</si>
  <si>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</si>
  <si>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</si>
  <si>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</si>
  <si>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</si>
  <si>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</si>
  <si>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</si>
  <si>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</si>
  <si>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</si>
  <si>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</si>
  <si>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</si>
  <si>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</si>
  <si>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</si>
  <si>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</si>
  <si>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</si>
  <si>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</si>
  <si>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</si>
  <si>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</si>
  <si>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</si>
  <si>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</si>
  <si>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</si>
  <si>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</si>
  <si>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</si>
  <si>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</si>
  <si>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</si>
  <si>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</si>
  <si>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</si>
  <si>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</si>
  <si>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</si>
  <si>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</si>
  <si>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</si>
  <si>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</si>
  <si>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</si>
  <si>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</si>
  <si>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</si>
  <si>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</si>
  <si>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</si>
  <si>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</si>
  <si>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</si>
  <si>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</si>
  <si>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</si>
  <si>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</si>
  <si>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</si>
  <si>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</si>
  <si>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</si>
  <si>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</si>
  <si>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</si>
  <si>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</si>
  <si>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</si>
  <si>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</si>
  <si>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</si>
  <si>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</si>
  <si>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</si>
  <si>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</si>
  <si>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</si>
  <si>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</si>
  <si>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</si>
  <si>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</si>
  <si>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</si>
  <si>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</si>
  <si>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</si>
  <si>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</si>
  <si>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</si>
  <si>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</si>
  <si>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</si>
  <si>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</si>
  <si>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</si>
  <si>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</si>
  <si>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</si>
  <si>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</si>
  <si>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</si>
  <si>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</si>
  <si>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</si>
  <si>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</si>
  <si>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</si>
  <si>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</si>
  <si>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</si>
  <si>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</si>
  <si>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</si>
  <si>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</si>
  <si>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</si>
  <si>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</si>
  <si>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</si>
  <si>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</si>
  <si>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</si>
  <si>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</si>
  <si>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</si>
  <si>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</si>
  <si>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</si>
  <si>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</si>
  <si>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</si>
  <si>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</si>
  <si>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</si>
  <si>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</si>
  <si>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</si>
  <si>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</si>
  <si>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</si>
  <si>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</si>
  <si>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</si>
  <si>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</si>
  <si>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</si>
  <si>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</si>
  <si>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</si>
  <si>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</si>
  <si>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</si>
  <si>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</si>
  <si>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</si>
  <si>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</si>
  <si>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</si>
  <si>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</si>
  <si>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</si>
  <si>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</si>
  <si>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</si>
  <si>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</si>
  <si>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</si>
  <si>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</si>
  <si>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</si>
  <si>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</si>
  <si>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</si>
  <si>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</si>
  <si>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</si>
  <si>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</si>
  <si>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</si>
  <si>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</si>
  <si>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</si>
  <si>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</si>
  <si>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</si>
  <si>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</si>
  <si>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</si>
  <si>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</si>
  <si>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</si>
  <si>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</si>
  <si>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</si>
  <si>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</si>
  <si>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</si>
  <si>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</si>
  <si>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</si>
  <si>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</si>
  <si>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</si>
  <si>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</si>
  <si>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</si>
  <si>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</si>
  <si>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</si>
  <si>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</si>
  <si>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</si>
  <si>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</si>
  <si>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</si>
  <si>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</si>
  <si>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</si>
  <si>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</si>
  <si>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</si>
  <si>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</si>
  <si>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</si>
  <si>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</si>
  <si>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</si>
  <si>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</si>
  <si>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</si>
  <si>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</si>
  <si>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</si>
  <si>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</si>
  <si>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</si>
  <si>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</si>
  <si>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</si>
  <si>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</si>
  <si>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</si>
  <si>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</si>
  <si>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</si>
  <si>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</si>
  <si>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</si>
  <si>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</si>
  <si>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</si>
  <si>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</si>
  <si>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</si>
  <si>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</si>
  <si>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</si>
  <si>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</si>
  <si>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</si>
  <si>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</si>
  <si>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</si>
  <si>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</si>
  <si>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</si>
  <si>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</si>
  <si>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</si>
  <si>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</si>
  <si>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</si>
  <si>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</si>
  <si>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</si>
  <si>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</si>
  <si>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</si>
  <si>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</si>
  <si>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</si>
  <si>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</si>
  <si>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</si>
  <si>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</si>
  <si>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</si>
  <si>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</si>
  <si>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</si>
  <si>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</si>
  <si>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</si>
  <si>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</si>
  <si>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</si>
  <si>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</si>
  <si>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</si>
  <si>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</si>
  <si>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</si>
  <si>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</si>
  <si>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</si>
  <si>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</si>
  <si>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</si>
  <si>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</si>
  <si>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</si>
  <si>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</si>
  <si>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</si>
  <si>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</si>
  <si>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</si>
  <si>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</si>
  <si>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</si>
  <si>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</si>
  <si>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</si>
  <si>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</si>
  <si>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</si>
  <si>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</si>
  <si>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</si>
  <si>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</si>
  <si>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</si>
  <si>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</si>
  <si>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</si>
  <si>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</si>
  <si>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</si>
  <si>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</si>
  <si>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</si>
  <si>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</si>
  <si>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</si>
  <si>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</si>
  <si>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</si>
  <si>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</si>
  <si>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</si>
  <si>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</si>
  <si>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</si>
  <si>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</si>
  <si>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</si>
  <si>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</si>
  <si>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</si>
  <si>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</si>
  <si>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</si>
  <si>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</si>
  <si>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</si>
  <si>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</si>
  <si>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</si>
  <si>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</si>
  <si>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</si>
  <si>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</si>
  <si>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</si>
  <si>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</si>
  <si>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</si>
  <si>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</si>
  <si>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</si>
  <si>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</si>
  <si>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</si>
  <si>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</si>
  <si>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</si>
  <si>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</si>
  <si>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</si>
  <si>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</si>
  <si>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</si>
  <si>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</si>
  <si>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</si>
  <si>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</si>
  <si>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</si>
  <si>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</si>
  <si>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</si>
  <si>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</si>
  <si>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</si>
  <si>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</si>
  <si>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</si>
  <si>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</si>
  <si>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</si>
  <si>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</si>
  <si>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</si>
  <si>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</si>
  <si>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</si>
  <si>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</si>
  <si>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</si>
  <si>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</si>
  <si>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</si>
  <si>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</si>
  <si>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</si>
  <si>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</si>
  <si>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</si>
  <si>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</si>
  <si>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</si>
  <si>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</si>
  <si>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</si>
  <si>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</si>
  <si>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</si>
  <si>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</si>
  <si>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</si>
  <si>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</si>
  <si>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</si>
  <si>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</si>
  <si>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</si>
  <si>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</si>
  <si>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</si>
  <si>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</si>
  <si>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</si>
  <si>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</si>
  <si>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</si>
  <si>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</si>
  <si>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</si>
  <si>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</si>
  <si>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</si>
  <si>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</si>
  <si>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</si>
  <si>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</si>
  <si>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</si>
  <si>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</si>
  <si>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</si>
  <si>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</si>
  <si>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</si>
  <si>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</si>
  <si>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</si>
  <si>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</si>
  <si>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</si>
  <si>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</si>
  <si>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</si>
  <si>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</si>
  <si>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</si>
  <si>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</si>
  <si>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</si>
  <si>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</si>
  <si>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</si>
  <si>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</si>
  <si>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</si>
  <si>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</si>
  <si>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</si>
  <si>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</si>
  <si>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</si>
  <si>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</si>
  <si>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</si>
  <si>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</si>
  <si>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</si>
  <si>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</si>
  <si>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</si>
  <si>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</si>
  <si>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</si>
  <si>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</si>
  <si>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</si>
  <si>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</si>
  <si>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</si>
  <si>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</si>
  <si>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</si>
  <si>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</si>
  <si>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</si>
  <si>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</si>
  <si>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</si>
  <si>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</si>
  <si>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</si>
  <si>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</si>
  <si>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</si>
  <si>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</si>
  <si>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</si>
  <si>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</si>
  <si>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</si>
  <si>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</si>
  <si>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</si>
  <si>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</si>
  <si>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</si>
  <si>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</si>
  <si>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</si>
  <si>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</si>
  <si>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</si>
  <si>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</si>
  <si>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</si>
  <si>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</si>
  <si>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</si>
  <si>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</si>
  <si>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</si>
  <si>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</si>
  <si>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</si>
  <si>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</si>
  <si>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</si>
  <si>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</si>
  <si>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</si>
  <si>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</si>
  <si>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</si>
  <si>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</si>
  <si>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</si>
  <si>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</si>
  <si>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</si>
  <si>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</si>
  <si>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</si>
  <si>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</si>
  <si>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</si>
  <si>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</si>
  <si>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</si>
  <si>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</si>
  <si>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</si>
  <si>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</si>
  <si>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</si>
  <si>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</si>
  <si>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</si>
  <si>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</si>
  <si>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</si>
  <si>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</si>
  <si>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</si>
  <si>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</si>
  <si>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</si>
  <si>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</si>
  <si>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</si>
  <si>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</si>
  <si>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</si>
  <si>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</si>
  <si>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</si>
  <si>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</si>
  <si>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</si>
  <si>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</si>
  <si>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</si>
  <si>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</si>
  <si>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</si>
  <si>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</si>
  <si>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</si>
  <si>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</si>
  <si>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</si>
  <si>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</si>
  <si>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</si>
  <si>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</si>
  <si>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</si>
  <si>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</si>
  <si>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</si>
  <si>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</si>
  <si>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</si>
  <si>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</si>
  <si>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</si>
  <si>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</si>
  <si>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</si>
  <si>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</si>
  <si>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</si>
  <si>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</si>
  <si>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</si>
  <si>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</si>
  <si>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</si>
  <si>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</si>
  <si>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</si>
  <si>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</si>
  <si>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</si>
  <si>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</si>
  <si>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</si>
  <si>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</si>
  <si>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</si>
  <si>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</si>
  <si>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</si>
  <si>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</si>
  <si>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</si>
  <si>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</si>
  <si>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</si>
  <si>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</si>
  <si>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</si>
  <si>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</si>
  <si>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</si>
  <si>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</si>
  <si>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</si>
  <si>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</si>
  <si>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</si>
  <si>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</si>
  <si>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</si>
  <si>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</si>
  <si>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</si>
  <si>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</si>
  <si>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</si>
  <si>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</si>
  <si>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</si>
  <si>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</si>
  <si>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</si>
  <si>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</si>
  <si>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</si>
  <si>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</si>
  <si>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</si>
  <si>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</si>
  <si>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</si>
  <si>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</si>
  <si>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</si>
  <si>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</si>
  <si>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</si>
  <si>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</si>
  <si>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</si>
  <si>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</si>
  <si>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</si>
  <si>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</si>
  <si>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</si>
  <si>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</si>
  <si>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</si>
  <si>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</si>
  <si>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</si>
  <si>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</si>
  <si>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</si>
  <si>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</si>
  <si>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</si>
  <si>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</si>
  <si>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</si>
  <si>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</si>
  <si>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</si>
  <si>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</si>
  <si>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</si>
  <si>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</si>
  <si>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</si>
  <si>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</si>
  <si>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</si>
  <si>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</si>
  <si>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</si>
  <si>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</si>
  <si>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</si>
  <si>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</si>
  <si>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</si>
  <si>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</si>
  <si>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</si>
  <si>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</si>
  <si>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</si>
  <si>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</si>
  <si>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</si>
  <si>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</si>
  <si>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</si>
  <si>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</si>
  <si>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</si>
  <si>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</si>
  <si>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</si>
  <si>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</si>
  <si>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</si>
  <si>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</si>
  <si>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</si>
  <si>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</si>
  <si>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</si>
  <si>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</si>
  <si>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</si>
  <si>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</si>
  <si>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</si>
  <si>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</si>
  <si>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</si>
  <si>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</si>
  <si>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</si>
  <si>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</si>
  <si>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</si>
  <si>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</si>
  <si>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</si>
  <si>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</si>
  <si>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</si>
  <si>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</si>
  <si>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</si>
  <si>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</si>
  <si>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</si>
  <si>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</si>
  <si>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</si>
  <si>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</si>
  <si>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</si>
  <si>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</si>
  <si>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</si>
  <si>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</si>
  <si>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</si>
  <si>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</si>
  <si>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</si>
  <si>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</si>
  <si>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</si>
  <si>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</si>
  <si>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</si>
  <si>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</si>
  <si>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</si>
  <si>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</si>
  <si>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</si>
  <si>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</si>
  <si>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</si>
  <si>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</si>
  <si>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</si>
  <si>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</si>
  <si>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</si>
  <si>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</si>
  <si>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</si>
  <si>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</si>
  <si>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</si>
  <si>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</si>
  <si>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</si>
  <si>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</si>
  <si>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</si>
  <si>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</si>
  <si>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</si>
  <si>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</si>
  <si>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</si>
  <si>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</si>
  <si>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</si>
  <si>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</si>
  <si>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</si>
  <si>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</si>
  <si>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</si>
  <si>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</si>
  <si>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</si>
  <si>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</si>
  <si>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</si>
  <si>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</si>
  <si>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</si>
  <si>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</si>
  <si>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</si>
  <si>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</si>
  <si>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</si>
  <si>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</si>
  <si>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</si>
  <si>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</si>
  <si>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</si>
  <si>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</si>
  <si>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</si>
  <si>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</si>
  <si>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</si>
  <si>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</si>
  <si>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</si>
  <si>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</si>
  <si>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</si>
  <si>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</si>
  <si>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</si>
  <si>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</si>
  <si>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</si>
  <si>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</si>
  <si>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</si>
  <si>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</si>
  <si>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</si>
  <si>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</si>
  <si>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</si>
  <si>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</si>
  <si>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</si>
  <si>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</si>
  <si>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</si>
  <si>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</si>
  <si>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</si>
  <si>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</si>
  <si>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</si>
  <si>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</si>
  <si>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</si>
  <si>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</si>
  <si>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</si>
  <si>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</si>
  <si>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</si>
  <si>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</si>
  <si>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</si>
  <si>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</si>
  <si>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</si>
  <si>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</si>
  <si>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</si>
  <si>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</si>
  <si>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</si>
  <si>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</si>
  <si>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</si>
  <si>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</si>
  <si>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</si>
  <si>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</si>
  <si>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</si>
  <si>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</si>
  <si>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</si>
  <si>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</si>
  <si>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</si>
  <si>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</si>
  <si>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</si>
  <si>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</si>
  <si>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</si>
  <si>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</si>
  <si>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</si>
  <si>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</si>
  <si>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</si>
  <si>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</si>
  <si>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</si>
  <si>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</si>
  <si>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</si>
  <si>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</si>
  <si>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</si>
  <si>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</si>
  <si>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</si>
  <si>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</si>
  <si>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</si>
  <si>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</si>
  <si>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</si>
  <si>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</si>
  <si>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</si>
  <si>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</si>
  <si>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</si>
  <si>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</si>
  <si>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</si>
  <si>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</si>
  <si>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</si>
  <si>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</si>
  <si>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</si>
  <si>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</si>
  <si>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</si>
  <si>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</si>
  <si>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</si>
  <si>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</si>
  <si>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</si>
  <si>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</si>
  <si>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</si>
  <si>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</si>
  <si>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</si>
  <si>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</si>
  <si>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</si>
  <si>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</si>
  <si>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</si>
  <si>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</si>
  <si>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</si>
  <si>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</si>
  <si>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</si>
  <si>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</si>
  <si>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</si>
  <si>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</si>
  <si>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</si>
  <si>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</si>
  <si>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</si>
  <si>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</si>
  <si>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</si>
  <si>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</si>
  <si>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</si>
  <si>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</si>
  <si>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</si>
  <si>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</si>
  <si>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</si>
  <si>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</si>
  <si>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</si>
  <si>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</si>
  <si>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</si>
  <si>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</si>
  <si>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</si>
  <si>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</si>
  <si>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</si>
  <si>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</si>
  <si>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</si>
  <si>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</si>
  <si>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</si>
  <si>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</si>
  <si>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</si>
  <si>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</si>
  <si>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</si>
  <si>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</si>
  <si>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</si>
  <si>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</si>
  <si>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</si>
  <si>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</si>
  <si>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</si>
  <si>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</si>
  <si>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</si>
  <si>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</si>
  <si>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</si>
  <si>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</si>
  <si>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</si>
  <si>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</si>
  <si>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</si>
  <si>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</si>
  <si>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</si>
  <si>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</si>
  <si>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</si>
  <si>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</si>
  <si>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</si>
  <si>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</si>
  <si>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</si>
  <si>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</si>
  <si>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</si>
  <si>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</si>
  <si>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</si>
  <si>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</si>
  <si>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</si>
  <si>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</si>
  <si>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</si>
  <si>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</si>
  <si>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</si>
  <si>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</si>
  <si>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</si>
  <si>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</si>
  <si>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</si>
  <si>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</si>
  <si>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</si>
  <si>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</si>
  <si>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</si>
  <si>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</si>
  <si>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</si>
  <si>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</si>
  <si>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</si>
  <si>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</si>
  <si>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</si>
  <si>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</si>
  <si>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</si>
  <si>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</si>
  <si>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</si>
  <si>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</si>
  <si>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</si>
  <si>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</si>
  <si>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</si>
  <si>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</si>
  <si>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</si>
  <si>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</si>
  <si>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</si>
  <si>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</si>
  <si>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</si>
  <si>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</si>
  <si>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</si>
  <si>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</si>
  <si>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</si>
  <si>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</si>
  <si>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</si>
  <si>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</si>
  <si>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</si>
  <si>
    <t>Reward_Value</t>
    <phoneticPr fontId="2" type="noConversion"/>
  </si>
  <si>
    <t>Card_Show_Count</t>
  </si>
  <si>
    <t>Card_Show_Count</t>
    <phoneticPr fontId="2" type="noConversion"/>
  </si>
  <si>
    <t>Card_Pick_Count</t>
  </si>
  <si>
    <t>Card_Pick_Count</t>
    <phoneticPr fontId="2" type="noConversion"/>
  </si>
  <si>
    <t>카드팩에서 등장하는 카드 수량</t>
    <phoneticPr fontId="2" type="noConversion"/>
  </si>
  <si>
    <t>선택 가능한 카드 수량</t>
    <phoneticPr fontId="2" type="noConversion"/>
  </si>
  <si>
    <t>Card_Illust_103</t>
  </si>
  <si>
    <t>Card_Illust_104</t>
  </si>
  <si>
    <t>Card_Illust_106</t>
  </si>
  <si>
    <t>Card_Illust_107</t>
  </si>
  <si>
    <t>Card_Illust_108</t>
  </si>
  <si>
    <t>Card_Illust_109</t>
  </si>
  <si>
    <t>Card_Illust_110</t>
  </si>
  <si>
    <t>Card_Illust_111</t>
  </si>
  <si>
    <t>Card_Illust_112</t>
  </si>
  <si>
    <t>Card_Illust_113</t>
  </si>
  <si>
    <t>Card_Illust_114</t>
  </si>
  <si>
    <t>Card_Illust_115</t>
  </si>
  <si>
    <t>Card_Illust_116</t>
  </si>
  <si>
    <t>Card_Illust_117</t>
  </si>
  <si>
    <t>Card_Illust_118</t>
  </si>
  <si>
    <t>Card_Illust_119</t>
  </si>
  <si>
    <t>Card_Illust_120</t>
  </si>
  <si>
    <t>Card_Illust_121</t>
  </si>
  <si>
    <t>Card_Illust_122</t>
  </si>
  <si>
    <t>Card_Illust_123</t>
  </si>
  <si>
    <t>Card_Illust_124</t>
  </si>
  <si>
    <t>Card_Illust_125</t>
  </si>
  <si>
    <t>Card_Illust_126</t>
  </si>
  <si>
    <t>Card_Illust_127</t>
  </si>
  <si>
    <t>Card_Illust_128</t>
  </si>
  <si>
    <t>Card_Illust_129</t>
  </si>
  <si>
    <t>Card_Illust_130</t>
  </si>
  <si>
    <t>Card_Illust_131</t>
  </si>
  <si>
    <t>Card_Illust_132</t>
  </si>
  <si>
    <t>Card_Illust_133</t>
  </si>
  <si>
    <t>Card_Illust_134</t>
  </si>
  <si>
    <t>Req_grade</t>
  </si>
  <si>
    <t>Cost</t>
  </si>
  <si>
    <t>Success_rate</t>
  </si>
  <si>
    <t>Success_rate_per_visit</t>
  </si>
  <si>
    <t>Jackpot_rate</t>
  </si>
  <si>
    <t>Jackpot_rate_invest</t>
  </si>
  <si>
    <t>Fail_box_id</t>
  </si>
  <si>
    <t>Success_box_id</t>
  </si>
  <si>
    <t>의뢰 등급</t>
    <phoneticPr fontId="2" type="noConversion"/>
  </si>
  <si>
    <t>의뢰 비용 (Gold)</t>
    <phoneticPr fontId="2" type="noConversion"/>
  </si>
  <si>
    <t>기본 성공률</t>
    <phoneticPr fontId="2" type="noConversion"/>
  </si>
  <si>
    <t>Success_rate_invest</t>
    <phoneticPr fontId="2" type="noConversion"/>
  </si>
  <si>
    <t>Max_Invest</t>
  </si>
  <si>
    <t>Max_Invest</t>
    <phoneticPr fontId="2" type="noConversion"/>
  </si>
  <si>
    <t>최대 투자 횟수</t>
    <phoneticPr fontId="2" type="noConversion"/>
  </si>
  <si>
    <t>대성공 확률</t>
    <phoneticPr fontId="2" type="noConversion"/>
  </si>
  <si>
    <t>투자 1회당 대성공 확률 증가량</t>
    <phoneticPr fontId="2" type="noConversion"/>
  </si>
  <si>
    <t>방문 1회당 성공확률 증가량</t>
    <phoneticPr fontId="2" type="noConversion"/>
  </si>
  <si>
    <t>투자 1회당 성공 확률 증가량</t>
    <phoneticPr fontId="2" type="noConversion"/>
  </si>
  <si>
    <t>실패시 보상 아이디</t>
    <phoneticPr fontId="2" type="noConversion"/>
  </si>
  <si>
    <t>성공시 보상 아이디</t>
    <phoneticPr fontId="2" type="noConversion"/>
  </si>
  <si>
    <t>만분률</t>
    <phoneticPr fontId="2" type="noConversion"/>
  </si>
  <si>
    <t>정보</t>
    <phoneticPr fontId="2" type="noConversion"/>
  </si>
  <si>
    <t>Normal</t>
    <phoneticPr fontId="2" type="noConversion"/>
  </si>
  <si>
    <t>VIP</t>
    <phoneticPr fontId="2" type="noConversion"/>
  </si>
  <si>
    <t>VVIP</t>
    <phoneticPr fontId="2" type="noConversion"/>
  </si>
  <si>
    <t>Box_Id</t>
  </si>
  <si>
    <t>Box_Id</t>
    <phoneticPr fontId="2" type="noConversion"/>
  </si>
  <si>
    <t>Rate</t>
  </si>
  <si>
    <t>카드 키 / 02.CardData Card_Key 참조</t>
    <phoneticPr fontId="2" type="noConversion"/>
  </si>
  <si>
    <t>보상 박스 / 13.RewardBoxData Box_id 참조</t>
    <phoneticPr fontId="2" type="noConversion"/>
  </si>
  <si>
    <t>가중치 확률</t>
    <phoneticPr fontId="2" type="noConversion"/>
  </si>
  <si>
    <t>11. 의뢰 테이블</t>
    <phoneticPr fontId="2" type="noConversion"/>
  </si>
  <si>
    <t>12. 대성공 가중치 확률 테이블</t>
    <phoneticPr fontId="2" type="noConversion"/>
  </si>
  <si>
    <t>Reward_Type</t>
  </si>
  <si>
    <t>Reward_Value</t>
  </si>
  <si>
    <t>Reward_Count</t>
  </si>
  <si>
    <t>박스 아이디</t>
    <phoneticPr fontId="2" type="noConversion"/>
  </si>
  <si>
    <t>보상 타입</t>
    <phoneticPr fontId="2" type="noConversion"/>
  </si>
  <si>
    <t>보상 값</t>
    <phoneticPr fontId="2" type="noConversion"/>
  </si>
  <si>
    <t>보상 수량</t>
    <phoneticPr fontId="2" type="noConversion"/>
  </si>
  <si>
    <t>Reward/보상</t>
    <phoneticPr fontId="2" type="noConversion"/>
  </si>
  <si>
    <t>골드</t>
  </si>
  <si>
    <t>카드</t>
  </si>
  <si>
    <t>유물</t>
  </si>
  <si>
    <t>팩</t>
  </si>
  <si>
    <t>13. 박스 테이블</t>
    <phoneticPr fontId="2" type="noConversion"/>
  </si>
  <si>
    <t>가챠</t>
    <phoneticPr fontId="2" type="noConversion"/>
  </si>
  <si>
    <t>Value</t>
    <phoneticPr fontId="2" type="noConversion"/>
  </si>
  <si>
    <t>x</t>
    <phoneticPr fontId="2" type="noConversion"/>
  </si>
  <si>
    <t>07.GachaData</t>
    <phoneticPr fontId="2" type="noConversion"/>
  </si>
  <si>
    <t>박스 참조 가챠</t>
    <phoneticPr fontId="2" type="noConversion"/>
  </si>
  <si>
    <t>13.BoxData 참조용</t>
    <phoneticPr fontId="2" type="noConversion"/>
  </si>
  <si>
    <t>Pick_Count</t>
  </si>
  <si>
    <t>Pick_Count</t>
    <phoneticPr fontId="2" type="noConversion"/>
  </si>
  <si>
    <t>보상 전부  제공</t>
    <phoneticPr fontId="2" type="noConversion"/>
  </si>
  <si>
    <t>보상중에 1개 선택 후 제공</t>
    <phoneticPr fontId="2" type="noConversion"/>
  </si>
  <si>
    <t>보상중에 2개 선택 후 제공</t>
  </si>
  <si>
    <t>보상중에 3개 선택 후 제공</t>
  </si>
  <si>
    <t>보상중에 4개 선택 후 제공</t>
  </si>
  <si>
    <t>Tag_Ice.png</t>
    <phoneticPr fontId="2" type="noConversion"/>
  </si>
  <si>
    <t>Tag_Consumable.png</t>
    <phoneticPr fontId="2" type="noConversion"/>
  </si>
  <si>
    <t>Tag_Electric.png</t>
    <phoneticPr fontId="2" type="noConversion"/>
  </si>
  <si>
    <t>Tag_Flame.png</t>
    <phoneticPr fontId="2" type="noConversion"/>
  </si>
  <si>
    <t>Tag_Magic.png</t>
    <phoneticPr fontId="2" type="noConversion"/>
  </si>
  <si>
    <t>Tag_Mana.png</t>
    <phoneticPr fontId="2" type="noConversion"/>
  </si>
  <si>
    <t>Tag_Tool.png</t>
    <phoneticPr fontId="2" type="noConversion"/>
  </si>
  <si>
    <t>Tag_Weapon.png</t>
    <phoneticPr fontId="2" type="noConversion"/>
  </si>
  <si>
    <t>방해 타일 타격 가능</t>
    <phoneticPr fontId="2" type="noConversion"/>
  </si>
  <si>
    <t>카드 사용시 골드 획득</t>
    <phoneticPr fontId="2" type="noConversion"/>
  </si>
  <si>
    <t>Card_Cross_Chisel_Name</t>
    <phoneticPr fontId="2" type="noConversion"/>
  </si>
  <si>
    <t>Card_Cross_Chisel_Des</t>
    <phoneticPr fontId="2" type="noConversion"/>
  </si>
  <si>
    <t>Card_Cross_Chisel_Enhanced_Des</t>
    <phoneticPr fontId="2" type="noConversion"/>
  </si>
  <si>
    <t>Card_Cross_Chisel_Enhanced_Name</t>
    <phoneticPr fontId="2" type="noConversion"/>
  </si>
  <si>
    <t>Card_Large_Scissors_Name</t>
    <phoneticPr fontId="2" type="noConversion"/>
  </si>
  <si>
    <t>Card_Large_Scissors_Enhanced_Name</t>
    <phoneticPr fontId="2" type="noConversion"/>
  </si>
  <si>
    <t>Card_Large_Scissors_Des</t>
    <phoneticPr fontId="2" type="noConversion"/>
  </si>
  <si>
    <t>Card_Large_Scissors_Enhanced_Des</t>
    <phoneticPr fontId="2" type="noConversion"/>
  </si>
  <si>
    <t>Card_Slingshot</t>
    <phoneticPr fontId="2" type="noConversion"/>
  </si>
  <si>
    <t>Card_Slingshot_Enhanced</t>
    <phoneticPr fontId="2" type="noConversion"/>
  </si>
  <si>
    <t>relic102</t>
    <phoneticPr fontId="2" type="noConversion"/>
  </si>
  <si>
    <t>강화 손잡이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</si>
</sst>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" fillId="4" borderId="0" xfId="0" applyFont="1" applyFill="1">
      <alignment vertical="center"/>
    </xf>
    <xf numFmtId="0" fontId="1" fillId="2" borderId="10" xfId="0" applyFont="1" applyFill="1" applyBorder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/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2" t="s">
        <v>0</v>
      </c>
      <c r="C2" s="33"/>
      <c r="D2" s="34"/>
      <c r="F2" s="3"/>
      <c r="G2" s="3"/>
      <c r="H2" s="3"/>
    </row>
    <row r="3" spans="2:8" x14ac:dyDescent="0.3">
      <c r="B3" s="35" t="s">
        <v>7</v>
      </c>
      <c r="C3" s="36"/>
      <c r="D3" s="37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workbookViewId="0">
      <selection activeCell="B15" sqref="B15"/>
    </sheetView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91</v>
      </c>
      <c r="B1" s="2" t="s">
        <v>69</v>
      </c>
      <c r="C1" s="2" t="s">
        <v>70</v>
      </c>
      <c r="D1" s="2" t="s">
        <v>71</v>
      </c>
      <c r="E1" s="14" t="s">
        <v>73</v>
      </c>
      <c r="F1" s="14" t="s">
        <v>74</v>
      </c>
      <c r="G1" s="2" t="s">
        <v>72</v>
      </c>
      <c r="H1" s="2" t="s">
        <v>78</v>
      </c>
      <c r="I1" s="2" t="s">
        <v>76</v>
      </c>
      <c r="J1" s="2" t="s">
        <v>75</v>
      </c>
      <c r="K1" s="2" t="s">
        <v>77</v>
      </c>
      <c r="L1" s="2" t="s">
        <v>79</v>
      </c>
      <c r="M1" s="20" t="s">
        <v>80</v>
      </c>
      <c r="N1" s="2" t="s">
        <v>587</v>
      </c>
      <c r="O1" s="2" t="s">
        <v>127</v>
      </c>
      <c r="P1" s="2" t="s">
        <v>128</v>
      </c>
      <c r="Q1" s="2" t="s">
        <v>129</v>
      </c>
      <c r="R1" s="2" t="s">
        <v>82</v>
      </c>
      <c r="S1" s="2" t="s">
        <v>83</v>
      </c>
      <c r="T1" s="23" t="s">
        <v>124</v>
      </c>
      <c r="U1" s="23" t="s">
        <v>81</v>
      </c>
      <c r="V1" s="12"/>
      <c r="X1" s="4"/>
      <c r="Y1" s="4"/>
      <c r="Z1" s="4"/>
    </row>
    <row r="2" spans="1:33" x14ac:dyDescent="0.3">
      <c r="A2" s="6">
        <v>101</v>
      </c>
      <c r="B2" s="6" t="s">
        <v>139</v>
      </c>
      <c r="C2" s="6" t="s">
        <v>191</v>
      </c>
      <c r="D2" s="6" t="s">
        <v>214</v>
      </c>
      <c r="E2" s="15" t="s">
        <v>142</v>
      </c>
      <c r="F2" s="15">
        <v>0</v>
      </c>
      <c r="G2" s="6">
        <v>1</v>
      </c>
      <c r="H2" s="6">
        <v>2</v>
      </c>
      <c r="I2" s="6">
        <v>1</v>
      </c>
      <c r="J2" s="6" t="s">
        <v>166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579</v>
      </c>
      <c r="U2" s="24" t="s">
        <v>577</v>
      </c>
      <c r="X2" s="35" t="s">
        <v>84</v>
      </c>
      <c r="Y2" s="36"/>
      <c r="Z2" s="37"/>
    </row>
    <row r="3" spans="1:33" x14ac:dyDescent="0.3">
      <c r="A3" s="6">
        <v>102</v>
      </c>
      <c r="B3" s="6" t="s">
        <v>140</v>
      </c>
      <c r="C3" s="6" t="s">
        <v>192</v>
      </c>
      <c r="D3" s="6" t="s">
        <v>215</v>
      </c>
      <c r="E3" s="15" t="s">
        <v>143</v>
      </c>
      <c r="F3" s="15">
        <v>0</v>
      </c>
      <c r="G3" s="6">
        <v>1</v>
      </c>
      <c r="H3" s="6">
        <v>2</v>
      </c>
      <c r="I3" s="6">
        <v>1</v>
      </c>
      <c r="J3" s="6" t="s">
        <v>167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580</v>
      </c>
      <c r="U3" s="24" t="s">
        <v>576</v>
      </c>
      <c r="X3" s="2" t="s">
        <v>85</v>
      </c>
      <c r="Y3" s="2" t="s">
        <v>86</v>
      </c>
      <c r="Z3" s="2" t="s">
        <v>87</v>
      </c>
      <c r="AB3" s="35" t="s">
        <v>72</v>
      </c>
      <c r="AC3" s="38"/>
      <c r="AD3" s="11"/>
      <c r="AE3" s="39" t="s">
        <v>108</v>
      </c>
      <c r="AF3" s="39"/>
      <c r="AG3" s="39"/>
    </row>
    <row r="4" spans="1:33" x14ac:dyDescent="0.3">
      <c r="A4" s="6">
        <v>103</v>
      </c>
      <c r="B4" s="6" t="s">
        <v>706</v>
      </c>
      <c r="C4" s="6" t="s">
        <v>193</v>
      </c>
      <c r="D4" s="6" t="s">
        <v>216</v>
      </c>
      <c r="E4" s="15" t="s">
        <v>144</v>
      </c>
      <c r="F4" s="15">
        <v>0</v>
      </c>
      <c r="G4" s="6">
        <v>1</v>
      </c>
      <c r="H4" s="6">
        <v>2</v>
      </c>
      <c r="I4" s="6">
        <v>2</v>
      </c>
      <c r="J4" s="6" t="s">
        <v>139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579</v>
      </c>
      <c r="U4" s="24" t="s">
        <v>1257</v>
      </c>
      <c r="X4" s="2" t="s">
        <v>91</v>
      </c>
      <c r="Y4" s="6" t="s">
        <v>92</v>
      </c>
      <c r="Z4" s="6" t="s">
        <v>88</v>
      </c>
      <c r="AB4" s="6">
        <v>1</v>
      </c>
      <c r="AC4" s="6" t="s">
        <v>98</v>
      </c>
      <c r="AE4" s="40" t="s">
        <v>76</v>
      </c>
      <c r="AF4" s="41"/>
      <c r="AG4" s="9" t="s">
        <v>75</v>
      </c>
    </row>
    <row r="5" spans="1:33" x14ac:dyDescent="0.3">
      <c r="A5" s="6">
        <v>104</v>
      </c>
      <c r="B5" s="6" t="s">
        <v>705</v>
      </c>
      <c r="C5" s="6" t="s">
        <v>194</v>
      </c>
      <c r="D5" s="6" t="s">
        <v>217</v>
      </c>
      <c r="E5" s="15" t="s">
        <v>145</v>
      </c>
      <c r="F5" s="15">
        <v>0</v>
      </c>
      <c r="G5" s="6">
        <v>1</v>
      </c>
      <c r="H5" s="6">
        <v>2</v>
      </c>
      <c r="I5" s="6">
        <v>2</v>
      </c>
      <c r="J5" s="6" t="s">
        <v>140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123</v>
      </c>
      <c r="P5" s="6">
        <v>0</v>
      </c>
      <c r="Q5" s="6">
        <v>0</v>
      </c>
      <c r="R5" s="22">
        <v>0</v>
      </c>
      <c r="S5" s="22">
        <v>0</v>
      </c>
      <c r="T5" s="24" t="s">
        <v>580</v>
      </c>
      <c r="U5" s="24" t="s">
        <v>1258</v>
      </c>
      <c r="X5" s="2" t="s">
        <v>69</v>
      </c>
      <c r="Y5" s="6" t="s">
        <v>90</v>
      </c>
      <c r="Z5" s="6" t="s">
        <v>88</v>
      </c>
      <c r="AB5" s="6">
        <v>2</v>
      </c>
      <c r="AC5" s="6" t="s">
        <v>99</v>
      </c>
      <c r="AE5" s="10">
        <v>0</v>
      </c>
      <c r="AF5" s="10" t="s">
        <v>109</v>
      </c>
      <c r="AG5" s="10">
        <v>0</v>
      </c>
    </row>
    <row r="6" spans="1:33" x14ac:dyDescent="0.3">
      <c r="A6" s="6">
        <v>105</v>
      </c>
      <c r="B6" s="6" t="s">
        <v>707</v>
      </c>
      <c r="C6" s="6" t="s">
        <v>195</v>
      </c>
      <c r="D6" s="6" t="s">
        <v>218</v>
      </c>
      <c r="E6" s="15" t="s">
        <v>146</v>
      </c>
      <c r="F6" s="15">
        <v>0</v>
      </c>
      <c r="G6" s="6">
        <v>1</v>
      </c>
      <c r="H6" s="6">
        <v>2</v>
      </c>
      <c r="I6" s="6">
        <v>1</v>
      </c>
      <c r="J6" s="6" t="s">
        <v>169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123</v>
      </c>
      <c r="P6" s="6">
        <v>124</v>
      </c>
      <c r="Q6" s="6">
        <v>0</v>
      </c>
      <c r="R6" s="22">
        <v>0</v>
      </c>
      <c r="S6" s="22">
        <v>0</v>
      </c>
      <c r="T6" s="24" t="s">
        <v>579</v>
      </c>
      <c r="U6" s="24" t="s">
        <v>578</v>
      </c>
      <c r="X6" s="2" t="s">
        <v>70</v>
      </c>
      <c r="Y6" s="6" t="s">
        <v>89</v>
      </c>
      <c r="Z6" s="6" t="s">
        <v>88</v>
      </c>
      <c r="AE6" s="10">
        <v>1</v>
      </c>
      <c r="AF6" s="10" t="s">
        <v>111</v>
      </c>
      <c r="AG6" s="10" t="s">
        <v>112</v>
      </c>
    </row>
    <row r="7" spans="1:33" x14ac:dyDescent="0.3">
      <c r="A7" s="6">
        <v>106</v>
      </c>
      <c r="B7" s="6" t="s">
        <v>708</v>
      </c>
      <c r="C7" s="6" t="s">
        <v>196</v>
      </c>
      <c r="D7" s="6" t="s">
        <v>219</v>
      </c>
      <c r="E7" s="15" t="s">
        <v>147</v>
      </c>
      <c r="F7" s="15">
        <v>0</v>
      </c>
      <c r="G7" s="6">
        <v>1</v>
      </c>
      <c r="H7" s="6">
        <v>2</v>
      </c>
      <c r="I7" s="6">
        <v>2</v>
      </c>
      <c r="J7" s="6" t="s">
        <v>168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123</v>
      </c>
      <c r="P7" s="6">
        <v>124</v>
      </c>
      <c r="Q7" s="6">
        <v>0</v>
      </c>
      <c r="R7" s="22">
        <v>0</v>
      </c>
      <c r="S7" s="22">
        <v>0</v>
      </c>
      <c r="T7" s="24" t="s">
        <v>579</v>
      </c>
      <c r="U7" s="24" t="s">
        <v>1259</v>
      </c>
      <c r="X7" s="2" t="s">
        <v>71</v>
      </c>
      <c r="Y7" s="6" t="s">
        <v>93</v>
      </c>
      <c r="Z7" s="6" t="s">
        <v>88</v>
      </c>
      <c r="AB7" s="35" t="s">
        <v>102</v>
      </c>
      <c r="AC7" s="38"/>
      <c r="AE7" s="10">
        <v>2</v>
      </c>
      <c r="AF7" s="10" t="s">
        <v>110</v>
      </c>
      <c r="AG7" s="10" t="s">
        <v>113</v>
      </c>
    </row>
    <row r="8" spans="1:33" x14ac:dyDescent="0.3">
      <c r="A8" s="6">
        <v>107</v>
      </c>
      <c r="B8" s="6" t="s">
        <v>709</v>
      </c>
      <c r="C8" s="6" t="s">
        <v>197</v>
      </c>
      <c r="D8" s="6" t="s">
        <v>220</v>
      </c>
      <c r="E8" s="15" t="s">
        <v>141</v>
      </c>
      <c r="F8" s="15">
        <v>0</v>
      </c>
      <c r="G8" s="6">
        <v>1</v>
      </c>
      <c r="H8" s="6">
        <v>2</v>
      </c>
      <c r="I8" s="6">
        <v>1</v>
      </c>
      <c r="J8" s="6" t="s">
        <v>171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581</v>
      </c>
      <c r="U8" s="24" t="s">
        <v>1260</v>
      </c>
      <c r="X8" s="2" t="s">
        <v>73</v>
      </c>
      <c r="Y8" s="6" t="s">
        <v>94</v>
      </c>
      <c r="Z8" s="6" t="s">
        <v>96</v>
      </c>
      <c r="AB8" s="6">
        <v>1</v>
      </c>
      <c r="AC8" s="6" t="s">
        <v>103</v>
      </c>
    </row>
    <row r="9" spans="1:33" x14ac:dyDescent="0.3">
      <c r="A9" s="6">
        <v>108</v>
      </c>
      <c r="B9" s="6" t="s">
        <v>171</v>
      </c>
      <c r="C9" s="6" t="s">
        <v>198</v>
      </c>
      <c r="D9" s="6" t="s">
        <v>221</v>
      </c>
      <c r="E9" s="15" t="s">
        <v>148</v>
      </c>
      <c r="F9" s="15">
        <v>0</v>
      </c>
      <c r="G9" s="6">
        <v>1</v>
      </c>
      <c r="H9" s="6">
        <v>2</v>
      </c>
      <c r="I9" s="6">
        <v>2</v>
      </c>
      <c r="J9" s="6" t="s">
        <v>170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581</v>
      </c>
      <c r="U9" s="24" t="s">
        <v>1261</v>
      </c>
      <c r="X9" s="2" t="s">
        <v>74</v>
      </c>
      <c r="Y9" s="6" t="s">
        <v>95</v>
      </c>
      <c r="Z9" s="6" t="s">
        <v>96</v>
      </c>
      <c r="AB9" s="6">
        <v>2</v>
      </c>
      <c r="AC9" s="6" t="s">
        <v>104</v>
      </c>
      <c r="AE9" s="35" t="s">
        <v>79</v>
      </c>
      <c r="AF9" s="38"/>
    </row>
    <row r="10" spans="1:33" x14ac:dyDescent="0.3">
      <c r="A10" s="6">
        <v>109</v>
      </c>
      <c r="B10" s="6" t="s">
        <v>710</v>
      </c>
      <c r="C10" s="6" t="s">
        <v>1358</v>
      </c>
      <c r="D10" s="6" t="s">
        <v>1359</v>
      </c>
      <c r="E10" s="15" t="s">
        <v>149</v>
      </c>
      <c r="F10" s="15">
        <v>0</v>
      </c>
      <c r="G10" s="6">
        <v>1</v>
      </c>
      <c r="H10" s="6">
        <v>2</v>
      </c>
      <c r="I10" s="6">
        <v>1</v>
      </c>
      <c r="J10" s="6" t="s">
        <v>173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582</v>
      </c>
      <c r="U10" s="24" t="s">
        <v>1262</v>
      </c>
      <c r="X10" s="2" t="s">
        <v>72</v>
      </c>
      <c r="Y10" s="6" t="s">
        <v>97</v>
      </c>
      <c r="Z10" s="6" t="s">
        <v>100</v>
      </c>
      <c r="AB10" s="6">
        <v>3</v>
      </c>
      <c r="AC10" s="6" t="s">
        <v>105</v>
      </c>
      <c r="AE10" s="6">
        <v>1</v>
      </c>
      <c r="AF10" s="6" t="s">
        <v>104</v>
      </c>
    </row>
    <row r="11" spans="1:33" x14ac:dyDescent="0.3">
      <c r="A11" s="6">
        <v>110</v>
      </c>
      <c r="B11" s="6" t="s">
        <v>711</v>
      </c>
      <c r="C11" s="6" t="s">
        <v>1361</v>
      </c>
      <c r="D11" s="6" t="s">
        <v>1360</v>
      </c>
      <c r="E11" s="15" t="s">
        <v>150</v>
      </c>
      <c r="F11" s="15">
        <v>0</v>
      </c>
      <c r="G11" s="6">
        <v>1</v>
      </c>
      <c r="H11" s="6">
        <v>2</v>
      </c>
      <c r="I11" s="6">
        <v>2</v>
      </c>
      <c r="J11" s="6" t="s">
        <v>172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582</v>
      </c>
      <c r="U11" s="24" t="s">
        <v>1263</v>
      </c>
      <c r="X11" s="2" t="s">
        <v>78</v>
      </c>
      <c r="Y11" s="6" t="s">
        <v>101</v>
      </c>
      <c r="Z11" s="6" t="s">
        <v>100</v>
      </c>
      <c r="AE11" s="6">
        <v>2</v>
      </c>
      <c r="AF11" s="6" t="s">
        <v>105</v>
      </c>
    </row>
    <row r="12" spans="1:33" x14ac:dyDescent="0.3">
      <c r="A12" s="6">
        <v>111</v>
      </c>
      <c r="B12" s="6" t="s">
        <v>174</v>
      </c>
      <c r="C12" s="6" t="s">
        <v>199</v>
      </c>
      <c r="D12" s="6" t="s">
        <v>222</v>
      </c>
      <c r="E12" s="15" t="s">
        <v>151</v>
      </c>
      <c r="F12" s="15">
        <v>0</v>
      </c>
      <c r="G12" s="6">
        <v>1</v>
      </c>
      <c r="H12" s="6">
        <v>2</v>
      </c>
      <c r="I12" s="6">
        <v>1</v>
      </c>
      <c r="J12" s="6" t="s">
        <v>175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583</v>
      </c>
      <c r="U12" s="24" t="s">
        <v>1264</v>
      </c>
      <c r="X12" s="2" t="s">
        <v>76</v>
      </c>
      <c r="Y12" s="6" t="s">
        <v>106</v>
      </c>
      <c r="Z12" s="6" t="s">
        <v>100</v>
      </c>
      <c r="AB12" s="35" t="s">
        <v>77</v>
      </c>
      <c r="AC12" s="38"/>
      <c r="AE12" s="2">
        <v>3</v>
      </c>
      <c r="AF12" s="2" t="s">
        <v>103</v>
      </c>
    </row>
    <row r="13" spans="1:33" x14ac:dyDescent="0.3">
      <c r="A13" s="6">
        <v>112</v>
      </c>
      <c r="B13" s="6" t="s">
        <v>175</v>
      </c>
      <c r="C13" s="6" t="s">
        <v>200</v>
      </c>
      <c r="D13" s="6" t="s">
        <v>223</v>
      </c>
      <c r="E13" s="15" t="s">
        <v>152</v>
      </c>
      <c r="F13" s="15">
        <v>0</v>
      </c>
      <c r="G13" s="6">
        <v>1</v>
      </c>
      <c r="H13" s="6">
        <v>2</v>
      </c>
      <c r="I13" s="6">
        <v>2</v>
      </c>
      <c r="J13" s="6" t="s">
        <v>174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583</v>
      </c>
      <c r="U13" s="24" t="s">
        <v>1265</v>
      </c>
      <c r="X13" s="2" t="s">
        <v>75</v>
      </c>
      <c r="Y13" s="6" t="s">
        <v>107</v>
      </c>
      <c r="Z13" s="6" t="s">
        <v>88</v>
      </c>
      <c r="AB13" s="6">
        <v>1</v>
      </c>
      <c r="AC13" s="6" t="s">
        <v>115</v>
      </c>
    </row>
    <row r="14" spans="1:33" x14ac:dyDescent="0.3">
      <c r="A14" s="6">
        <v>113</v>
      </c>
      <c r="B14" s="6" t="s">
        <v>1366</v>
      </c>
      <c r="C14" s="6" t="s">
        <v>201</v>
      </c>
      <c r="D14" s="6" t="s">
        <v>224</v>
      </c>
      <c r="E14" s="15" t="s">
        <v>153</v>
      </c>
      <c r="F14" s="15">
        <v>0</v>
      </c>
      <c r="G14" s="6">
        <v>1</v>
      </c>
      <c r="H14" s="6">
        <v>2</v>
      </c>
      <c r="I14" s="6">
        <v>1</v>
      </c>
      <c r="J14" s="6" t="s">
        <v>177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579</v>
      </c>
      <c r="U14" s="24" t="s">
        <v>1266</v>
      </c>
      <c r="X14" s="2" t="s">
        <v>77</v>
      </c>
      <c r="Y14" s="6" t="s">
        <v>114</v>
      </c>
      <c r="Z14" s="6" t="s">
        <v>100</v>
      </c>
      <c r="AB14" s="6">
        <v>2</v>
      </c>
      <c r="AC14" s="6" t="s">
        <v>116</v>
      </c>
      <c r="AE14" s="35" t="s">
        <v>80</v>
      </c>
      <c r="AF14" s="38"/>
    </row>
    <row r="15" spans="1:33" x14ac:dyDescent="0.3">
      <c r="A15" s="6">
        <v>114</v>
      </c>
      <c r="B15" s="6" t="s">
        <v>1367</v>
      </c>
      <c r="C15" s="6" t="s">
        <v>202</v>
      </c>
      <c r="D15" s="6" t="s">
        <v>225</v>
      </c>
      <c r="E15" s="15" t="s">
        <v>154</v>
      </c>
      <c r="F15" s="15">
        <v>0</v>
      </c>
      <c r="G15" s="6">
        <v>1</v>
      </c>
      <c r="H15" s="6">
        <v>2</v>
      </c>
      <c r="I15" s="6">
        <v>2</v>
      </c>
      <c r="J15" s="6" t="s">
        <v>176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610</v>
      </c>
      <c r="U15" s="24" t="s">
        <v>1267</v>
      </c>
      <c r="X15" s="2" t="s">
        <v>79</v>
      </c>
      <c r="Y15" s="6" t="s">
        <v>119</v>
      </c>
      <c r="Z15" s="6" t="s">
        <v>118</v>
      </c>
      <c r="AB15" s="6">
        <v>3</v>
      </c>
      <c r="AC15" s="6" t="s">
        <v>117</v>
      </c>
      <c r="AE15" s="6">
        <v>1</v>
      </c>
      <c r="AF15" s="6" t="s">
        <v>549</v>
      </c>
    </row>
    <row r="16" spans="1:33" x14ac:dyDescent="0.3">
      <c r="A16" s="6">
        <v>115</v>
      </c>
      <c r="B16" s="6" t="s">
        <v>178</v>
      </c>
      <c r="C16" s="6" t="s">
        <v>203</v>
      </c>
      <c r="D16" s="6" t="s">
        <v>226</v>
      </c>
      <c r="E16" s="15" t="s">
        <v>155</v>
      </c>
      <c r="F16" s="15">
        <v>0</v>
      </c>
      <c r="G16" s="6">
        <v>1</v>
      </c>
      <c r="H16" s="6">
        <v>2</v>
      </c>
      <c r="I16" s="6">
        <v>1</v>
      </c>
      <c r="J16" s="6" t="s">
        <v>179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584</v>
      </c>
      <c r="U16" s="24" t="s">
        <v>1268</v>
      </c>
      <c r="X16" s="2" t="s">
        <v>80</v>
      </c>
      <c r="Y16" s="6" t="s">
        <v>589</v>
      </c>
      <c r="Z16" s="6" t="s">
        <v>118</v>
      </c>
      <c r="AE16" s="6">
        <v>2</v>
      </c>
      <c r="AF16" s="6"/>
    </row>
    <row r="17" spans="1:32" x14ac:dyDescent="0.3">
      <c r="A17" s="6">
        <v>116</v>
      </c>
      <c r="B17" s="6" t="s">
        <v>179</v>
      </c>
      <c r="C17" s="6" t="s">
        <v>204</v>
      </c>
      <c r="D17" s="6" t="s">
        <v>227</v>
      </c>
      <c r="E17" s="15" t="s">
        <v>156</v>
      </c>
      <c r="F17" s="15">
        <v>0</v>
      </c>
      <c r="G17" s="6">
        <v>1</v>
      </c>
      <c r="H17" s="6">
        <v>2</v>
      </c>
      <c r="I17" s="6">
        <v>2</v>
      </c>
      <c r="J17" s="6" t="s">
        <v>178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584</v>
      </c>
      <c r="U17" s="24" t="s">
        <v>1269</v>
      </c>
      <c r="X17" s="2" t="s">
        <v>587</v>
      </c>
      <c r="Y17" s="6" t="s">
        <v>588</v>
      </c>
      <c r="Z17" s="6" t="s">
        <v>122</v>
      </c>
      <c r="AE17" s="6">
        <v>4</v>
      </c>
      <c r="AF17" s="6" t="s">
        <v>333</v>
      </c>
    </row>
    <row r="18" spans="1:32" x14ac:dyDescent="0.3">
      <c r="A18" s="6">
        <v>117</v>
      </c>
      <c r="B18" s="6" t="s">
        <v>180</v>
      </c>
      <c r="C18" s="6" t="s">
        <v>205</v>
      </c>
      <c r="D18" s="6" t="s">
        <v>228</v>
      </c>
      <c r="E18" s="15" t="s">
        <v>157</v>
      </c>
      <c r="F18" s="15">
        <v>0</v>
      </c>
      <c r="G18" s="6">
        <v>1</v>
      </c>
      <c r="H18" s="6">
        <v>2</v>
      </c>
      <c r="I18" s="6">
        <v>1</v>
      </c>
      <c r="J18" s="6" t="s">
        <v>181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584</v>
      </c>
      <c r="U18" s="24" t="s">
        <v>1270</v>
      </c>
      <c r="X18" s="2" t="s">
        <v>127</v>
      </c>
      <c r="Y18" s="6" t="s">
        <v>590</v>
      </c>
      <c r="Z18" s="6" t="s">
        <v>88</v>
      </c>
      <c r="AE18" s="6">
        <v>8</v>
      </c>
      <c r="AF18" s="6" t="s">
        <v>334</v>
      </c>
    </row>
    <row r="19" spans="1:32" x14ac:dyDescent="0.3">
      <c r="A19" s="6">
        <v>118</v>
      </c>
      <c r="B19" s="6" t="s">
        <v>181</v>
      </c>
      <c r="C19" s="6" t="s">
        <v>206</v>
      </c>
      <c r="D19" s="6" t="s">
        <v>229</v>
      </c>
      <c r="E19" s="15" t="s">
        <v>158</v>
      </c>
      <c r="F19" s="15">
        <v>0</v>
      </c>
      <c r="G19" s="6">
        <v>1</v>
      </c>
      <c r="H19" s="6">
        <v>2</v>
      </c>
      <c r="I19" s="6">
        <v>2</v>
      </c>
      <c r="J19" s="6" t="s">
        <v>180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584</v>
      </c>
      <c r="U19" s="24" t="s">
        <v>1271</v>
      </c>
      <c r="X19" s="2" t="s">
        <v>128</v>
      </c>
      <c r="Y19" s="6" t="s">
        <v>590</v>
      </c>
      <c r="Z19" s="6" t="s">
        <v>88</v>
      </c>
      <c r="AE19" s="6">
        <v>16</v>
      </c>
      <c r="AF19" s="6" t="s">
        <v>335</v>
      </c>
    </row>
    <row r="20" spans="1:32" x14ac:dyDescent="0.3">
      <c r="A20" s="6">
        <v>119</v>
      </c>
      <c r="B20" s="6" t="s">
        <v>182</v>
      </c>
      <c r="C20" s="6" t="s">
        <v>207</v>
      </c>
      <c r="D20" s="6" t="s">
        <v>230</v>
      </c>
      <c r="E20" s="15" t="s">
        <v>159</v>
      </c>
      <c r="F20" s="15">
        <v>0</v>
      </c>
      <c r="G20" s="6">
        <v>1</v>
      </c>
      <c r="H20" s="6">
        <v>2</v>
      </c>
      <c r="I20" s="6">
        <v>1</v>
      </c>
      <c r="J20" s="6" t="s">
        <v>183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124</v>
      </c>
      <c r="P20" s="6">
        <v>0</v>
      </c>
      <c r="Q20" s="6">
        <v>0</v>
      </c>
      <c r="R20" s="22">
        <v>0</v>
      </c>
      <c r="S20" s="22">
        <v>0</v>
      </c>
      <c r="T20" s="24" t="s">
        <v>581</v>
      </c>
      <c r="U20" s="24" t="s">
        <v>1272</v>
      </c>
      <c r="X20" s="2" t="s">
        <v>129</v>
      </c>
      <c r="Y20" s="6" t="s">
        <v>590</v>
      </c>
      <c r="Z20" s="6" t="s">
        <v>88</v>
      </c>
      <c r="AE20" s="6">
        <v>32</v>
      </c>
      <c r="AF20" s="6" t="s">
        <v>262</v>
      </c>
    </row>
    <row r="21" spans="1:32" x14ac:dyDescent="0.3">
      <c r="A21" s="6">
        <v>120</v>
      </c>
      <c r="B21" s="6" t="s">
        <v>183</v>
      </c>
      <c r="C21" s="6" t="s">
        <v>208</v>
      </c>
      <c r="D21" s="6" t="s">
        <v>231</v>
      </c>
      <c r="E21" s="15" t="s">
        <v>160</v>
      </c>
      <c r="F21" s="15">
        <v>0</v>
      </c>
      <c r="G21" s="6">
        <v>1</v>
      </c>
      <c r="H21" s="6">
        <v>2</v>
      </c>
      <c r="I21" s="6">
        <v>2</v>
      </c>
      <c r="J21" s="6" t="s">
        <v>182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124</v>
      </c>
      <c r="P21" s="6">
        <v>0</v>
      </c>
      <c r="Q21" s="6">
        <v>0</v>
      </c>
      <c r="R21" s="22">
        <v>0</v>
      </c>
      <c r="S21" s="22">
        <v>0</v>
      </c>
      <c r="T21" s="24" t="s">
        <v>581</v>
      </c>
      <c r="U21" s="24" t="s">
        <v>1273</v>
      </c>
      <c r="X21" s="2" t="s">
        <v>82</v>
      </c>
      <c r="Y21" s="6" t="s">
        <v>121</v>
      </c>
      <c r="Z21" s="6" t="s">
        <v>88</v>
      </c>
      <c r="AE21" s="6">
        <v>64</v>
      </c>
      <c r="AF21" s="6" t="s">
        <v>264</v>
      </c>
    </row>
    <row r="22" spans="1:32" x14ac:dyDescent="0.3">
      <c r="A22" s="6">
        <v>121</v>
      </c>
      <c r="B22" s="6" t="s">
        <v>712</v>
      </c>
      <c r="C22" s="6" t="s">
        <v>1362</v>
      </c>
      <c r="D22" s="6" t="s">
        <v>1364</v>
      </c>
      <c r="E22" s="15" t="s">
        <v>161</v>
      </c>
      <c r="F22" s="15">
        <v>0</v>
      </c>
      <c r="G22" s="6">
        <v>1</v>
      </c>
      <c r="H22" s="6">
        <v>2</v>
      </c>
      <c r="I22" s="6">
        <v>1</v>
      </c>
      <c r="J22" s="6" t="s">
        <v>245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585</v>
      </c>
      <c r="U22" s="24" t="s">
        <v>1274</v>
      </c>
      <c r="X22" s="2" t="s">
        <v>83</v>
      </c>
      <c r="Y22" s="6" t="s">
        <v>120</v>
      </c>
      <c r="Z22" s="6" t="s">
        <v>122</v>
      </c>
      <c r="AE22" s="6">
        <v>128</v>
      </c>
      <c r="AF22" s="6" t="s">
        <v>266</v>
      </c>
    </row>
    <row r="23" spans="1:32" x14ac:dyDescent="0.3">
      <c r="A23" s="6">
        <v>122</v>
      </c>
      <c r="B23" s="6" t="s">
        <v>713</v>
      </c>
      <c r="C23" s="6" t="s">
        <v>1363</v>
      </c>
      <c r="D23" s="6" t="s">
        <v>1365</v>
      </c>
      <c r="E23" s="15" t="s">
        <v>162</v>
      </c>
      <c r="F23" s="15">
        <v>0</v>
      </c>
      <c r="G23" s="6">
        <v>1</v>
      </c>
      <c r="H23" s="6">
        <v>2</v>
      </c>
      <c r="I23" s="6">
        <v>2</v>
      </c>
      <c r="J23" s="6" t="s">
        <v>184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585</v>
      </c>
      <c r="U23" s="24" t="s">
        <v>1275</v>
      </c>
      <c r="X23" s="2" t="s">
        <v>125</v>
      </c>
      <c r="Y23" s="6" t="s">
        <v>123</v>
      </c>
      <c r="Z23" s="6" t="s">
        <v>586</v>
      </c>
      <c r="AE23" s="6">
        <v>256</v>
      </c>
      <c r="AF23" s="6" t="s">
        <v>337</v>
      </c>
    </row>
    <row r="24" spans="1:32" x14ac:dyDescent="0.3">
      <c r="A24" s="6">
        <v>123</v>
      </c>
      <c r="B24" s="6" t="s">
        <v>185</v>
      </c>
      <c r="C24" s="6" t="s">
        <v>209</v>
      </c>
      <c r="D24" s="6" t="s">
        <v>232</v>
      </c>
      <c r="E24" s="15" t="s">
        <v>1205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579</v>
      </c>
      <c r="U24" s="24" t="s">
        <v>1276</v>
      </c>
      <c r="X24" s="2" t="s">
        <v>81</v>
      </c>
      <c r="Y24" s="6" t="s">
        <v>126</v>
      </c>
      <c r="Z24" s="6" t="s">
        <v>586</v>
      </c>
      <c r="AE24" s="6">
        <v>512</v>
      </c>
      <c r="AF24" s="6" t="s">
        <v>336</v>
      </c>
    </row>
    <row r="25" spans="1:32" x14ac:dyDescent="0.3">
      <c r="A25" s="6">
        <v>124</v>
      </c>
      <c r="B25" s="6" t="s">
        <v>186</v>
      </c>
      <c r="C25" s="6" t="s">
        <v>210</v>
      </c>
      <c r="D25" s="6" t="s">
        <v>233</v>
      </c>
      <c r="E25" s="15" t="s">
        <v>1206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608</v>
      </c>
      <c r="U25" s="24" t="s">
        <v>1277</v>
      </c>
      <c r="AE25" s="6">
        <v>1023</v>
      </c>
      <c r="AF25" s="6" t="s">
        <v>260</v>
      </c>
    </row>
    <row r="26" spans="1:32" x14ac:dyDescent="0.3">
      <c r="A26" s="6">
        <v>125</v>
      </c>
      <c r="B26" s="6" t="s">
        <v>187</v>
      </c>
      <c r="C26" s="6" t="s">
        <v>211</v>
      </c>
      <c r="D26" s="6" t="s">
        <v>234</v>
      </c>
      <c r="E26" s="15" t="s">
        <v>1207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609</v>
      </c>
      <c r="U26" s="24" t="s">
        <v>1278</v>
      </c>
    </row>
    <row r="27" spans="1:32" x14ac:dyDescent="0.3">
      <c r="A27" s="6">
        <v>126</v>
      </c>
      <c r="B27" s="6" t="s">
        <v>188</v>
      </c>
      <c r="C27" s="6" t="s">
        <v>212</v>
      </c>
      <c r="D27" s="6" t="s">
        <v>235</v>
      </c>
      <c r="E27" s="15" t="s">
        <v>163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 t="s">
        <v>1279</v>
      </c>
    </row>
    <row r="28" spans="1:32" x14ac:dyDescent="0.3">
      <c r="A28" s="6">
        <v>127</v>
      </c>
      <c r="B28" s="6" t="s">
        <v>189</v>
      </c>
      <c r="C28" s="6" t="s">
        <v>213</v>
      </c>
      <c r="D28" s="6" t="s">
        <v>236</v>
      </c>
      <c r="E28" s="15" t="s">
        <v>164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 t="s">
        <v>1280</v>
      </c>
    </row>
    <row r="29" spans="1:32" x14ac:dyDescent="0.3">
      <c r="A29" s="6">
        <v>128</v>
      </c>
      <c r="B29" s="6" t="s">
        <v>190</v>
      </c>
      <c r="C29" s="6" t="s">
        <v>251</v>
      </c>
      <c r="D29" s="6" t="s">
        <v>237</v>
      </c>
      <c r="E29" s="15" t="s">
        <v>165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 t="s">
        <v>1281</v>
      </c>
    </row>
    <row r="30" spans="1:32" x14ac:dyDescent="0.3">
      <c r="A30" s="6">
        <v>129</v>
      </c>
      <c r="B30" s="6" t="s">
        <v>696</v>
      </c>
      <c r="C30" s="6" t="s">
        <v>697</v>
      </c>
      <c r="D30" s="6" t="s">
        <v>698</v>
      </c>
      <c r="E30" s="15" t="s">
        <v>238</v>
      </c>
      <c r="F30" s="15">
        <v>0</v>
      </c>
      <c r="G30" s="6">
        <v>1</v>
      </c>
      <c r="H30" s="6">
        <v>2</v>
      </c>
      <c r="I30" s="6">
        <v>1</v>
      </c>
      <c r="J30" s="6" t="s">
        <v>246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608</v>
      </c>
      <c r="U30" s="24" t="s">
        <v>1282</v>
      </c>
    </row>
    <row r="31" spans="1:32" x14ac:dyDescent="0.3">
      <c r="A31" s="6">
        <v>130</v>
      </c>
      <c r="B31" s="6" t="s">
        <v>699</v>
      </c>
      <c r="C31" s="6" t="s">
        <v>700</v>
      </c>
      <c r="D31" s="6" t="s">
        <v>701</v>
      </c>
      <c r="E31" s="15" t="s">
        <v>241</v>
      </c>
      <c r="F31" s="15">
        <v>0</v>
      </c>
      <c r="G31" s="6">
        <v>1</v>
      </c>
      <c r="H31" s="6">
        <v>2</v>
      </c>
      <c r="I31" s="6">
        <v>2</v>
      </c>
      <c r="J31" s="6" t="s">
        <v>244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608</v>
      </c>
      <c r="U31" s="24" t="s">
        <v>1283</v>
      </c>
    </row>
    <row r="32" spans="1:32" x14ac:dyDescent="0.3">
      <c r="A32" s="6">
        <v>131</v>
      </c>
      <c r="B32" s="6" t="s">
        <v>247</v>
      </c>
      <c r="C32" s="6" t="s">
        <v>252</v>
      </c>
      <c r="D32" s="6" t="s">
        <v>256</v>
      </c>
      <c r="E32" s="15" t="s">
        <v>239</v>
      </c>
      <c r="F32" s="15">
        <v>0</v>
      </c>
      <c r="G32" s="6">
        <v>1</v>
      </c>
      <c r="H32" s="6">
        <v>2</v>
      </c>
      <c r="I32" s="6">
        <v>1</v>
      </c>
      <c r="J32" s="6" t="s">
        <v>248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610</v>
      </c>
      <c r="U32" s="24" t="s">
        <v>1284</v>
      </c>
    </row>
    <row r="33" spans="1:21" x14ac:dyDescent="0.3">
      <c r="A33" s="6">
        <v>132</v>
      </c>
      <c r="B33" s="6" t="s">
        <v>248</v>
      </c>
      <c r="C33" s="6" t="s">
        <v>253</v>
      </c>
      <c r="D33" s="6" t="s">
        <v>257</v>
      </c>
      <c r="E33" s="15" t="s">
        <v>242</v>
      </c>
      <c r="F33" s="15">
        <v>0</v>
      </c>
      <c r="G33" s="6">
        <v>1</v>
      </c>
      <c r="H33" s="6">
        <v>2</v>
      </c>
      <c r="I33" s="6">
        <v>2</v>
      </c>
      <c r="J33" s="6" t="s">
        <v>247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610</v>
      </c>
      <c r="U33" s="24" t="s">
        <v>1285</v>
      </c>
    </row>
    <row r="34" spans="1:21" x14ac:dyDescent="0.3">
      <c r="A34" s="6">
        <v>133</v>
      </c>
      <c r="B34" s="6" t="s">
        <v>249</v>
      </c>
      <c r="C34" s="6" t="s">
        <v>254</v>
      </c>
      <c r="D34" s="6" t="s">
        <v>258</v>
      </c>
      <c r="E34" s="15" t="s">
        <v>240</v>
      </c>
      <c r="F34" s="15">
        <v>0</v>
      </c>
      <c r="G34" s="6">
        <v>1</v>
      </c>
      <c r="H34" s="6">
        <v>2</v>
      </c>
      <c r="I34" s="6">
        <v>1</v>
      </c>
      <c r="J34" s="6" t="s">
        <v>250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611</v>
      </c>
      <c r="U34" s="24" t="s">
        <v>1286</v>
      </c>
    </row>
    <row r="35" spans="1:21" x14ac:dyDescent="0.3">
      <c r="A35" s="6">
        <v>134</v>
      </c>
      <c r="B35" s="6" t="s">
        <v>250</v>
      </c>
      <c r="C35" s="6" t="s">
        <v>255</v>
      </c>
      <c r="D35" s="6" t="s">
        <v>259</v>
      </c>
      <c r="E35" s="15" t="s">
        <v>243</v>
      </c>
      <c r="F35" s="15">
        <v>0</v>
      </c>
      <c r="G35" s="6">
        <v>1</v>
      </c>
      <c r="H35" s="6">
        <v>2</v>
      </c>
      <c r="I35" s="6">
        <v>2</v>
      </c>
      <c r="J35" s="6" t="s">
        <v>249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611</v>
      </c>
      <c r="U35" s="24" t="s">
        <v>1287</v>
      </c>
    </row>
    <row r="36" spans="1:21" x14ac:dyDescent="0.3">
      <c r="A36" s="6">
        <v>201</v>
      </c>
      <c r="B36" s="6" t="s">
        <v>270</v>
      </c>
      <c r="C36" s="6" t="s">
        <v>271</v>
      </c>
      <c r="D36" s="6" t="s">
        <v>272</v>
      </c>
      <c r="E36" s="15" t="s">
        <v>269</v>
      </c>
      <c r="F36" s="15">
        <v>0</v>
      </c>
      <c r="G36" s="6">
        <v>1</v>
      </c>
      <c r="H36" s="6">
        <v>3</v>
      </c>
      <c r="I36" s="6">
        <v>1</v>
      </c>
      <c r="J36" s="6" t="s">
        <v>273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273</v>
      </c>
      <c r="C37" s="6" t="s">
        <v>274</v>
      </c>
      <c r="D37" s="6" t="s">
        <v>275</v>
      </c>
      <c r="E37" s="15" t="s">
        <v>276</v>
      </c>
      <c r="F37" s="15">
        <v>0</v>
      </c>
      <c r="G37" s="6">
        <v>1</v>
      </c>
      <c r="H37" s="6">
        <v>3</v>
      </c>
      <c r="I37" s="6">
        <v>2</v>
      </c>
      <c r="J37" s="6" t="s">
        <v>270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356</v>
      </c>
      <c r="C38" s="6" t="s">
        <v>339</v>
      </c>
      <c r="D38" s="6" t="s">
        <v>340</v>
      </c>
      <c r="E38" s="15" t="s">
        <v>277</v>
      </c>
      <c r="F38" s="15">
        <v>0</v>
      </c>
      <c r="G38" s="6">
        <v>1</v>
      </c>
      <c r="H38" s="6">
        <v>3</v>
      </c>
      <c r="I38" s="6">
        <v>1</v>
      </c>
      <c r="J38" s="6" t="s">
        <v>341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357</v>
      </c>
      <c r="C39" s="6" t="s">
        <v>342</v>
      </c>
      <c r="D39" s="6" t="s">
        <v>343</v>
      </c>
      <c r="E39" s="15" t="s">
        <v>278</v>
      </c>
      <c r="F39" s="15">
        <v>0</v>
      </c>
      <c r="G39" s="6">
        <v>1</v>
      </c>
      <c r="H39" s="6">
        <v>3</v>
      </c>
      <c r="I39" s="6">
        <v>2</v>
      </c>
      <c r="J39" s="6" t="s">
        <v>338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344</v>
      </c>
      <c r="C40" s="6" t="s">
        <v>346</v>
      </c>
      <c r="D40" s="6" t="s">
        <v>348</v>
      </c>
      <c r="E40" s="15" t="s">
        <v>279</v>
      </c>
      <c r="F40" s="15">
        <v>0</v>
      </c>
      <c r="G40" s="6">
        <v>2</v>
      </c>
      <c r="H40" s="6">
        <v>3</v>
      </c>
      <c r="I40" s="6">
        <v>1</v>
      </c>
      <c r="J40" s="6" t="s">
        <v>345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345</v>
      </c>
      <c r="C41" s="6" t="s">
        <v>347</v>
      </c>
      <c r="D41" s="6" t="s">
        <v>349</v>
      </c>
      <c r="E41" s="15" t="s">
        <v>280</v>
      </c>
      <c r="F41" s="15">
        <v>0</v>
      </c>
      <c r="G41" s="6">
        <v>2</v>
      </c>
      <c r="H41" s="6">
        <v>3</v>
      </c>
      <c r="I41" s="6">
        <v>2</v>
      </c>
      <c r="J41" s="6" t="s">
        <v>344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358</v>
      </c>
      <c r="C42" s="6" t="s">
        <v>352</v>
      </c>
      <c r="D42" s="6" t="s">
        <v>354</v>
      </c>
      <c r="E42" s="15" t="s">
        <v>281</v>
      </c>
      <c r="F42" s="15">
        <v>0</v>
      </c>
      <c r="G42" s="6">
        <v>1</v>
      </c>
      <c r="H42" s="6">
        <v>3</v>
      </c>
      <c r="I42" s="6">
        <v>1</v>
      </c>
      <c r="J42" s="6" t="s">
        <v>351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359</v>
      </c>
      <c r="C43" s="6" t="s">
        <v>353</v>
      </c>
      <c r="D43" s="6" t="s">
        <v>355</v>
      </c>
      <c r="E43" s="15" t="s">
        <v>282</v>
      </c>
      <c r="F43" s="15">
        <v>0</v>
      </c>
      <c r="G43" s="6">
        <v>1</v>
      </c>
      <c r="H43" s="6">
        <v>3</v>
      </c>
      <c r="I43" s="6">
        <v>2</v>
      </c>
      <c r="J43" s="6" t="s">
        <v>350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360</v>
      </c>
      <c r="C44" s="6" t="s">
        <v>447</v>
      </c>
      <c r="D44" s="6" t="s">
        <v>497</v>
      </c>
      <c r="E44" s="15" t="s">
        <v>283</v>
      </c>
      <c r="F44" s="15">
        <v>0</v>
      </c>
      <c r="G44" s="6">
        <v>1</v>
      </c>
      <c r="H44" s="6">
        <v>3</v>
      </c>
      <c r="I44" s="6">
        <v>1</v>
      </c>
      <c r="J44" s="6" t="s">
        <v>405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405</v>
      </c>
      <c r="C45" s="6" t="s">
        <v>448</v>
      </c>
      <c r="D45" s="6" t="s">
        <v>498</v>
      </c>
      <c r="E45" s="15" t="s">
        <v>284</v>
      </c>
      <c r="F45" s="15">
        <v>0</v>
      </c>
      <c r="G45" s="6">
        <v>1</v>
      </c>
      <c r="H45" s="6">
        <v>3</v>
      </c>
      <c r="I45" s="6">
        <v>2</v>
      </c>
      <c r="J45" s="6" t="s">
        <v>360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361</v>
      </c>
      <c r="C46" s="6" t="s">
        <v>449</v>
      </c>
      <c r="D46" s="6" t="s">
        <v>499</v>
      </c>
      <c r="E46" s="15" t="s">
        <v>285</v>
      </c>
      <c r="F46" s="15">
        <v>0</v>
      </c>
      <c r="G46" s="6">
        <v>1</v>
      </c>
      <c r="H46" s="6">
        <v>3</v>
      </c>
      <c r="I46" s="6">
        <v>1</v>
      </c>
      <c r="J46" s="6" t="s">
        <v>362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362</v>
      </c>
      <c r="C47" s="6" t="s">
        <v>450</v>
      </c>
      <c r="D47" s="6" t="s">
        <v>500</v>
      </c>
      <c r="E47" s="15" t="s">
        <v>287</v>
      </c>
      <c r="F47" s="15">
        <v>0</v>
      </c>
      <c r="G47" s="6">
        <v>1</v>
      </c>
      <c r="H47" s="6">
        <v>3</v>
      </c>
      <c r="I47" s="6">
        <v>2</v>
      </c>
      <c r="J47" s="6" t="s">
        <v>547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363</v>
      </c>
      <c r="C48" s="6" t="s">
        <v>451</v>
      </c>
      <c r="D48" s="6" t="s">
        <v>501</v>
      </c>
      <c r="E48" s="15" t="s">
        <v>286</v>
      </c>
      <c r="F48" s="15">
        <v>0</v>
      </c>
      <c r="G48" s="6">
        <v>1</v>
      </c>
      <c r="H48" s="6">
        <v>3</v>
      </c>
      <c r="I48" s="6">
        <v>1</v>
      </c>
      <c r="J48" s="6" t="s">
        <v>406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406</v>
      </c>
      <c r="C49" s="6" t="s">
        <v>452</v>
      </c>
      <c r="D49" s="6" t="s">
        <v>502</v>
      </c>
      <c r="E49" s="15" t="s">
        <v>288</v>
      </c>
      <c r="F49" s="15">
        <v>0</v>
      </c>
      <c r="G49" s="6">
        <v>1</v>
      </c>
      <c r="H49" s="6">
        <v>3</v>
      </c>
      <c r="I49" s="6">
        <v>2</v>
      </c>
      <c r="J49" s="6" t="s">
        <v>548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364</v>
      </c>
      <c r="C50" s="6" t="s">
        <v>453</v>
      </c>
      <c r="D50" s="6" t="s">
        <v>503</v>
      </c>
      <c r="E50" s="15" t="s">
        <v>289</v>
      </c>
      <c r="F50" s="15">
        <v>0</v>
      </c>
      <c r="G50" s="6">
        <v>1</v>
      </c>
      <c r="H50" s="6">
        <v>3</v>
      </c>
      <c r="I50" s="6">
        <v>1</v>
      </c>
      <c r="J50" s="6" t="s">
        <v>407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407</v>
      </c>
      <c r="C51" s="6" t="s">
        <v>454</v>
      </c>
      <c r="D51" s="6" t="s">
        <v>504</v>
      </c>
      <c r="E51" s="15" t="s">
        <v>290</v>
      </c>
      <c r="F51" s="15">
        <v>0</v>
      </c>
      <c r="G51" s="6">
        <v>1</v>
      </c>
      <c r="H51" s="6">
        <v>3</v>
      </c>
      <c r="I51" s="6">
        <v>2</v>
      </c>
      <c r="J51" s="6" t="s">
        <v>365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366</v>
      </c>
      <c r="C52" s="6" t="s">
        <v>455</v>
      </c>
      <c r="D52" s="6" t="s">
        <v>505</v>
      </c>
      <c r="E52" s="15" t="s">
        <v>291</v>
      </c>
      <c r="F52" s="15">
        <v>0</v>
      </c>
      <c r="G52" s="6">
        <v>1</v>
      </c>
      <c r="H52" s="6">
        <v>3</v>
      </c>
      <c r="I52" s="6">
        <v>1</v>
      </c>
      <c r="J52" s="6" t="s">
        <v>408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408</v>
      </c>
      <c r="C53" s="6" t="s">
        <v>456</v>
      </c>
      <c r="D53" s="6" t="s">
        <v>506</v>
      </c>
      <c r="E53" s="15" t="s">
        <v>292</v>
      </c>
      <c r="F53" s="15">
        <v>0</v>
      </c>
      <c r="G53" s="6">
        <v>1</v>
      </c>
      <c r="H53" s="6">
        <v>3</v>
      </c>
      <c r="I53" s="6">
        <v>2</v>
      </c>
      <c r="J53" s="6" t="s">
        <v>366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367</v>
      </c>
      <c r="C54" s="6" t="s">
        <v>457</v>
      </c>
      <c r="D54" s="6" t="s">
        <v>507</v>
      </c>
      <c r="E54" s="15" t="s">
        <v>293</v>
      </c>
      <c r="F54" s="15">
        <v>0</v>
      </c>
      <c r="G54" s="6">
        <v>1</v>
      </c>
      <c r="H54" s="6">
        <v>3</v>
      </c>
      <c r="I54" s="6">
        <v>1</v>
      </c>
      <c r="J54" s="6" t="s">
        <v>409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409</v>
      </c>
      <c r="C55" s="6" t="s">
        <v>458</v>
      </c>
      <c r="D55" s="6" t="s">
        <v>508</v>
      </c>
      <c r="E55" s="15" t="s">
        <v>294</v>
      </c>
      <c r="F55" s="15">
        <v>0</v>
      </c>
      <c r="G55" s="6">
        <v>1</v>
      </c>
      <c r="H55" s="6">
        <v>3</v>
      </c>
      <c r="I55" s="6">
        <v>2</v>
      </c>
      <c r="J55" s="6" t="s">
        <v>367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368</v>
      </c>
      <c r="C56" s="6" t="s">
        <v>459</v>
      </c>
      <c r="D56" s="6" t="s">
        <v>509</v>
      </c>
      <c r="E56" s="15" t="s">
        <v>295</v>
      </c>
      <c r="F56" s="15">
        <v>0</v>
      </c>
      <c r="G56" s="6">
        <v>2</v>
      </c>
      <c r="H56" s="6">
        <v>3</v>
      </c>
      <c r="I56" s="6">
        <v>1</v>
      </c>
      <c r="J56" s="6" t="s">
        <v>446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446</v>
      </c>
      <c r="C57" s="6" t="s">
        <v>460</v>
      </c>
      <c r="D57" s="6" t="s">
        <v>510</v>
      </c>
      <c r="E57" s="15" t="s">
        <v>296</v>
      </c>
      <c r="F57" s="15">
        <v>0</v>
      </c>
      <c r="G57" s="6">
        <v>2</v>
      </c>
      <c r="H57" s="6">
        <v>3</v>
      </c>
      <c r="I57" s="6">
        <v>2</v>
      </c>
      <c r="J57" s="6" t="s">
        <v>368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370</v>
      </c>
      <c r="C58" s="6" t="s">
        <v>461</v>
      </c>
      <c r="D58" s="6" t="s">
        <v>511</v>
      </c>
      <c r="E58" s="15" t="s">
        <v>297</v>
      </c>
      <c r="F58" s="15">
        <v>0</v>
      </c>
      <c r="G58" s="6">
        <v>1</v>
      </c>
      <c r="H58" s="6">
        <v>3</v>
      </c>
      <c r="I58" s="6">
        <v>1</v>
      </c>
      <c r="J58" s="6" t="s">
        <v>444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445</v>
      </c>
      <c r="C59" s="6" t="s">
        <v>462</v>
      </c>
      <c r="D59" s="6" t="s">
        <v>512</v>
      </c>
      <c r="E59" s="15" t="s">
        <v>298</v>
      </c>
      <c r="F59" s="15">
        <v>0</v>
      </c>
      <c r="G59" s="6">
        <v>1</v>
      </c>
      <c r="H59" s="6">
        <v>3</v>
      </c>
      <c r="I59" s="6">
        <v>2</v>
      </c>
      <c r="J59" s="6" t="s">
        <v>369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372</v>
      </c>
      <c r="C60" s="6" t="s">
        <v>463</v>
      </c>
      <c r="D60" s="6" t="s">
        <v>513</v>
      </c>
      <c r="E60" s="15" t="s">
        <v>299</v>
      </c>
      <c r="F60" s="15">
        <v>0</v>
      </c>
      <c r="G60" s="6">
        <v>1</v>
      </c>
      <c r="H60" s="6">
        <v>3</v>
      </c>
      <c r="I60" s="6">
        <v>1</v>
      </c>
      <c r="J60" s="6" t="s">
        <v>442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443</v>
      </c>
      <c r="C61" s="6" t="s">
        <v>464</v>
      </c>
      <c r="D61" s="6" t="s">
        <v>514</v>
      </c>
      <c r="E61" s="15" t="s">
        <v>300</v>
      </c>
      <c r="F61" s="15">
        <v>0</v>
      </c>
      <c r="G61" s="6">
        <v>1</v>
      </c>
      <c r="H61" s="6">
        <v>3</v>
      </c>
      <c r="I61" s="6">
        <v>2</v>
      </c>
      <c r="J61" s="6" t="s">
        <v>371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374</v>
      </c>
      <c r="C62" s="6" t="s">
        <v>465</v>
      </c>
      <c r="D62" s="6" t="s">
        <v>515</v>
      </c>
      <c r="E62" s="15" t="s">
        <v>301</v>
      </c>
      <c r="F62" s="15">
        <v>0</v>
      </c>
      <c r="G62" s="6">
        <v>1</v>
      </c>
      <c r="H62" s="6">
        <v>3</v>
      </c>
      <c r="I62" s="6">
        <v>1</v>
      </c>
      <c r="J62" s="6" t="s">
        <v>440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441</v>
      </c>
      <c r="C63" s="6" t="s">
        <v>466</v>
      </c>
      <c r="D63" s="6" t="s">
        <v>516</v>
      </c>
      <c r="E63" s="15" t="s">
        <v>302</v>
      </c>
      <c r="F63" s="15">
        <v>0</v>
      </c>
      <c r="G63" s="6">
        <v>1</v>
      </c>
      <c r="H63" s="6">
        <v>3</v>
      </c>
      <c r="I63" s="6">
        <v>2</v>
      </c>
      <c r="J63" s="6" t="s">
        <v>373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376</v>
      </c>
      <c r="C64" s="6" t="s">
        <v>467</v>
      </c>
      <c r="D64" s="6" t="s">
        <v>517</v>
      </c>
      <c r="E64" s="15" t="s">
        <v>303</v>
      </c>
      <c r="F64" s="15">
        <v>0</v>
      </c>
      <c r="G64" s="6">
        <v>1</v>
      </c>
      <c r="H64" s="6">
        <v>3</v>
      </c>
      <c r="I64" s="6">
        <v>1</v>
      </c>
      <c r="J64" s="6" t="s">
        <v>438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439</v>
      </c>
      <c r="C65" s="6" t="s">
        <v>468</v>
      </c>
      <c r="D65" s="6" t="s">
        <v>518</v>
      </c>
      <c r="E65" s="15" t="s">
        <v>304</v>
      </c>
      <c r="F65" s="15">
        <v>0</v>
      </c>
      <c r="G65" s="6">
        <v>1</v>
      </c>
      <c r="H65" s="6">
        <v>3</v>
      </c>
      <c r="I65" s="6">
        <v>2</v>
      </c>
      <c r="J65" s="6" t="s">
        <v>375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378</v>
      </c>
      <c r="C66" s="6" t="s">
        <v>469</v>
      </c>
      <c r="D66" s="6" t="s">
        <v>519</v>
      </c>
      <c r="E66" s="15" t="s">
        <v>305</v>
      </c>
      <c r="F66" s="15">
        <v>0</v>
      </c>
      <c r="G66" s="6">
        <v>1</v>
      </c>
      <c r="H66" s="6">
        <v>3</v>
      </c>
      <c r="I66" s="6">
        <v>1</v>
      </c>
      <c r="J66" s="6" t="s">
        <v>436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437</v>
      </c>
      <c r="C67" s="6" t="s">
        <v>470</v>
      </c>
      <c r="D67" s="6" t="s">
        <v>520</v>
      </c>
      <c r="E67" s="15" t="s">
        <v>306</v>
      </c>
      <c r="F67" s="15">
        <v>0</v>
      </c>
      <c r="G67" s="6">
        <v>1</v>
      </c>
      <c r="H67" s="6">
        <v>3</v>
      </c>
      <c r="I67" s="6">
        <v>2</v>
      </c>
      <c r="J67" s="6" t="s">
        <v>377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380</v>
      </c>
      <c r="C68" s="6" t="s">
        <v>471</v>
      </c>
      <c r="D68" s="6" t="s">
        <v>521</v>
      </c>
      <c r="E68" s="15" t="s">
        <v>307</v>
      </c>
      <c r="F68" s="15">
        <v>0</v>
      </c>
      <c r="G68" s="6">
        <v>1</v>
      </c>
      <c r="H68" s="6">
        <v>3</v>
      </c>
      <c r="I68" s="6">
        <v>1</v>
      </c>
      <c r="J68" s="6" t="s">
        <v>434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435</v>
      </c>
      <c r="C69" s="6" t="s">
        <v>472</v>
      </c>
      <c r="D69" s="6" t="s">
        <v>522</v>
      </c>
      <c r="E69" s="15" t="s">
        <v>308</v>
      </c>
      <c r="F69" s="15">
        <v>0</v>
      </c>
      <c r="G69" s="6">
        <v>1</v>
      </c>
      <c r="H69" s="6">
        <v>3</v>
      </c>
      <c r="I69" s="6">
        <v>2</v>
      </c>
      <c r="J69" s="6" t="s">
        <v>379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382</v>
      </c>
      <c r="C70" s="6" t="s">
        <v>473</v>
      </c>
      <c r="D70" s="6" t="s">
        <v>523</v>
      </c>
      <c r="E70" s="15" t="s">
        <v>309</v>
      </c>
      <c r="F70" s="15">
        <v>0</v>
      </c>
      <c r="G70" s="6">
        <v>1</v>
      </c>
      <c r="H70" s="6">
        <v>3</v>
      </c>
      <c r="I70" s="6">
        <v>1</v>
      </c>
      <c r="J70" s="6" t="s">
        <v>432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433</v>
      </c>
      <c r="C71" s="6" t="s">
        <v>474</v>
      </c>
      <c r="D71" s="6" t="s">
        <v>524</v>
      </c>
      <c r="E71" s="15" t="s">
        <v>310</v>
      </c>
      <c r="F71" s="15">
        <v>0</v>
      </c>
      <c r="G71" s="6">
        <v>1</v>
      </c>
      <c r="H71" s="6">
        <v>3</v>
      </c>
      <c r="I71" s="6">
        <v>2</v>
      </c>
      <c r="J71" s="6" t="s">
        <v>381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384</v>
      </c>
      <c r="C72" s="6" t="s">
        <v>475</v>
      </c>
      <c r="D72" s="6" t="s">
        <v>525</v>
      </c>
      <c r="E72" s="15" t="s">
        <v>311</v>
      </c>
      <c r="F72" s="15">
        <v>0</v>
      </c>
      <c r="G72" s="6">
        <v>1</v>
      </c>
      <c r="H72" s="6">
        <v>3</v>
      </c>
      <c r="I72" s="6">
        <v>1</v>
      </c>
      <c r="J72" s="6" t="s">
        <v>430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431</v>
      </c>
      <c r="C73" s="6" t="s">
        <v>476</v>
      </c>
      <c r="D73" s="6" t="s">
        <v>526</v>
      </c>
      <c r="E73" s="15" t="s">
        <v>312</v>
      </c>
      <c r="F73" s="15">
        <v>0</v>
      </c>
      <c r="G73" s="6">
        <v>1</v>
      </c>
      <c r="H73" s="6">
        <v>3</v>
      </c>
      <c r="I73" s="6">
        <v>2</v>
      </c>
      <c r="J73" s="6" t="s">
        <v>383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386</v>
      </c>
      <c r="C74" s="6" t="s">
        <v>477</v>
      </c>
      <c r="D74" s="6" t="s">
        <v>527</v>
      </c>
      <c r="E74" s="15" t="s">
        <v>313</v>
      </c>
      <c r="F74" s="15">
        <v>0</v>
      </c>
      <c r="G74" s="6">
        <v>1</v>
      </c>
      <c r="H74" s="6">
        <v>3</v>
      </c>
      <c r="I74" s="6">
        <v>1</v>
      </c>
      <c r="J74" s="6" t="s">
        <v>428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429</v>
      </c>
      <c r="C75" s="6" t="s">
        <v>478</v>
      </c>
      <c r="D75" s="6" t="s">
        <v>528</v>
      </c>
      <c r="E75" s="15" t="s">
        <v>314</v>
      </c>
      <c r="F75" s="15">
        <v>0</v>
      </c>
      <c r="G75" s="6">
        <v>1</v>
      </c>
      <c r="H75" s="6">
        <v>3</v>
      </c>
      <c r="I75" s="6">
        <v>2</v>
      </c>
      <c r="J75" s="6" t="s">
        <v>385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388</v>
      </c>
      <c r="C76" s="6" t="s">
        <v>479</v>
      </c>
      <c r="D76" s="6" t="s">
        <v>529</v>
      </c>
      <c r="E76" s="15" t="s">
        <v>315</v>
      </c>
      <c r="F76" s="15">
        <v>0</v>
      </c>
      <c r="G76" s="6">
        <v>1</v>
      </c>
      <c r="H76" s="6">
        <v>3</v>
      </c>
      <c r="I76" s="6">
        <v>1</v>
      </c>
      <c r="J76" s="6" t="s">
        <v>426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427</v>
      </c>
      <c r="C77" s="6" t="s">
        <v>480</v>
      </c>
      <c r="D77" s="6" t="s">
        <v>530</v>
      </c>
      <c r="E77" s="15" t="s">
        <v>316</v>
      </c>
      <c r="F77" s="15">
        <v>0</v>
      </c>
      <c r="G77" s="6">
        <v>1</v>
      </c>
      <c r="H77" s="6">
        <v>3</v>
      </c>
      <c r="I77" s="6">
        <v>2</v>
      </c>
      <c r="J77" s="6" t="s">
        <v>387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390</v>
      </c>
      <c r="C78" s="6" t="s">
        <v>481</v>
      </c>
      <c r="D78" s="6" t="s">
        <v>531</v>
      </c>
      <c r="E78" s="15" t="s">
        <v>317</v>
      </c>
      <c r="F78" s="15">
        <v>0</v>
      </c>
      <c r="G78" s="6">
        <v>1</v>
      </c>
      <c r="H78" s="6">
        <v>3</v>
      </c>
      <c r="I78" s="6">
        <v>1</v>
      </c>
      <c r="J78" s="6" t="s">
        <v>424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425</v>
      </c>
      <c r="C79" s="6" t="s">
        <v>482</v>
      </c>
      <c r="D79" s="6" t="s">
        <v>532</v>
      </c>
      <c r="E79" s="15" t="s">
        <v>318</v>
      </c>
      <c r="F79" s="15">
        <v>0</v>
      </c>
      <c r="G79" s="6">
        <v>1</v>
      </c>
      <c r="H79" s="6">
        <v>3</v>
      </c>
      <c r="I79" s="6">
        <v>2</v>
      </c>
      <c r="J79" s="6" t="s">
        <v>389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392</v>
      </c>
      <c r="C80" s="6" t="s">
        <v>483</v>
      </c>
      <c r="D80" s="6" t="s">
        <v>533</v>
      </c>
      <c r="E80" s="15" t="s">
        <v>319</v>
      </c>
      <c r="F80" s="15">
        <v>0</v>
      </c>
      <c r="G80" s="6">
        <v>1</v>
      </c>
      <c r="H80" s="6">
        <v>3</v>
      </c>
      <c r="I80" s="6">
        <v>1</v>
      </c>
      <c r="J80" s="6" t="s">
        <v>422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423</v>
      </c>
      <c r="C81" s="6" t="s">
        <v>484</v>
      </c>
      <c r="D81" s="6" t="s">
        <v>534</v>
      </c>
      <c r="E81" s="15" t="s">
        <v>320</v>
      </c>
      <c r="F81" s="15">
        <v>0</v>
      </c>
      <c r="G81" s="6">
        <v>1</v>
      </c>
      <c r="H81" s="6">
        <v>3</v>
      </c>
      <c r="I81" s="6">
        <v>2</v>
      </c>
      <c r="J81" s="6" t="s">
        <v>391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396</v>
      </c>
      <c r="C82" s="6" t="s">
        <v>485</v>
      </c>
      <c r="D82" s="6" t="s">
        <v>535</v>
      </c>
      <c r="E82" s="15" t="s">
        <v>321</v>
      </c>
      <c r="F82" s="15">
        <v>0</v>
      </c>
      <c r="G82" s="6">
        <v>1</v>
      </c>
      <c r="H82" s="6">
        <v>3</v>
      </c>
      <c r="I82" s="6">
        <v>1</v>
      </c>
      <c r="J82" s="6" t="s">
        <v>420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421</v>
      </c>
      <c r="C83" s="6" t="s">
        <v>486</v>
      </c>
      <c r="D83" s="6" t="s">
        <v>536</v>
      </c>
      <c r="E83" s="15" t="s">
        <v>322</v>
      </c>
      <c r="F83" s="15">
        <v>0</v>
      </c>
      <c r="G83" s="6">
        <v>1</v>
      </c>
      <c r="H83" s="6">
        <v>3</v>
      </c>
      <c r="I83" s="6">
        <v>2</v>
      </c>
      <c r="J83" s="6" t="s">
        <v>395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394</v>
      </c>
      <c r="C84" s="6" t="s">
        <v>487</v>
      </c>
      <c r="D84" s="6" t="s">
        <v>537</v>
      </c>
      <c r="E84" s="15" t="s">
        <v>323</v>
      </c>
      <c r="F84" s="15">
        <v>0</v>
      </c>
      <c r="G84" s="6">
        <v>1</v>
      </c>
      <c r="H84" s="6">
        <v>3</v>
      </c>
      <c r="I84" s="6">
        <v>1</v>
      </c>
      <c r="J84" s="6" t="s">
        <v>418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419</v>
      </c>
      <c r="C85" s="6" t="s">
        <v>488</v>
      </c>
      <c r="D85" s="6" t="s">
        <v>538</v>
      </c>
      <c r="E85" s="15" t="s">
        <v>324</v>
      </c>
      <c r="F85" s="15">
        <v>0</v>
      </c>
      <c r="G85" s="6">
        <v>1</v>
      </c>
      <c r="H85" s="6">
        <v>3</v>
      </c>
      <c r="I85" s="6">
        <v>2</v>
      </c>
      <c r="J85" s="6" t="s">
        <v>393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398</v>
      </c>
      <c r="C86" s="6" t="s">
        <v>489</v>
      </c>
      <c r="D86" s="6" t="s">
        <v>539</v>
      </c>
      <c r="E86" s="15" t="s">
        <v>325</v>
      </c>
      <c r="F86" s="15">
        <v>0</v>
      </c>
      <c r="G86" s="6">
        <v>1</v>
      </c>
      <c r="H86" s="6">
        <v>3</v>
      </c>
      <c r="I86" s="6">
        <v>1</v>
      </c>
      <c r="J86" s="6" t="s">
        <v>416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417</v>
      </c>
      <c r="C87" s="6" t="s">
        <v>490</v>
      </c>
      <c r="D87" s="6" t="s">
        <v>540</v>
      </c>
      <c r="E87" s="15" t="s">
        <v>326</v>
      </c>
      <c r="F87" s="15">
        <v>0</v>
      </c>
      <c r="G87" s="6">
        <v>1</v>
      </c>
      <c r="H87" s="6">
        <v>3</v>
      </c>
      <c r="I87" s="6">
        <v>2</v>
      </c>
      <c r="J87" s="6" t="s">
        <v>397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400</v>
      </c>
      <c r="C88" s="6" t="s">
        <v>491</v>
      </c>
      <c r="D88" s="6" t="s">
        <v>541</v>
      </c>
      <c r="E88" s="15" t="s">
        <v>327</v>
      </c>
      <c r="F88" s="15">
        <v>0</v>
      </c>
      <c r="G88" s="6">
        <v>1</v>
      </c>
      <c r="H88" s="6">
        <v>3</v>
      </c>
      <c r="I88" s="6">
        <v>1</v>
      </c>
      <c r="J88" s="6" t="s">
        <v>414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415</v>
      </c>
      <c r="C89" s="6" t="s">
        <v>492</v>
      </c>
      <c r="D89" s="6" t="s">
        <v>542</v>
      </c>
      <c r="E89" s="15" t="s">
        <v>328</v>
      </c>
      <c r="F89" s="15">
        <v>0</v>
      </c>
      <c r="G89" s="6">
        <v>1</v>
      </c>
      <c r="H89" s="6">
        <v>3</v>
      </c>
      <c r="I89" s="6">
        <v>2</v>
      </c>
      <c r="J89" s="6" t="s">
        <v>399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402</v>
      </c>
      <c r="C90" s="6" t="s">
        <v>493</v>
      </c>
      <c r="D90" s="6" t="s">
        <v>543</v>
      </c>
      <c r="E90" s="15" t="s">
        <v>329</v>
      </c>
      <c r="F90" s="15">
        <v>0</v>
      </c>
      <c r="G90" s="6">
        <v>1</v>
      </c>
      <c r="H90" s="6">
        <v>3</v>
      </c>
      <c r="I90" s="6">
        <v>1</v>
      </c>
      <c r="J90" s="6" t="s">
        <v>412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413</v>
      </c>
      <c r="C91" s="6" t="s">
        <v>494</v>
      </c>
      <c r="D91" s="6" t="s">
        <v>544</v>
      </c>
      <c r="E91" s="15" t="s">
        <v>330</v>
      </c>
      <c r="F91" s="15">
        <v>0</v>
      </c>
      <c r="G91" s="6">
        <v>1</v>
      </c>
      <c r="H91" s="6">
        <v>3</v>
      </c>
      <c r="I91" s="6">
        <v>2</v>
      </c>
      <c r="J91" s="6" t="s">
        <v>401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404</v>
      </c>
      <c r="C92" s="6" t="s">
        <v>495</v>
      </c>
      <c r="D92" s="6" t="s">
        <v>545</v>
      </c>
      <c r="E92" s="15" t="s">
        <v>331</v>
      </c>
      <c r="F92" s="15">
        <v>0</v>
      </c>
      <c r="G92" s="6">
        <v>1</v>
      </c>
      <c r="H92" s="6">
        <v>3</v>
      </c>
      <c r="I92" s="6">
        <v>1</v>
      </c>
      <c r="J92" s="6" t="s">
        <v>410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411</v>
      </c>
      <c r="C93" s="6" t="s">
        <v>496</v>
      </c>
      <c r="D93" s="6" t="s">
        <v>546</v>
      </c>
      <c r="E93" s="15" t="s">
        <v>332</v>
      </c>
      <c r="F93" s="15">
        <v>0</v>
      </c>
      <c r="G93" s="6">
        <v>1</v>
      </c>
      <c r="H93" s="6">
        <v>3</v>
      </c>
      <c r="I93" s="6">
        <v>2</v>
      </c>
      <c r="J93" s="6" t="s">
        <v>403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/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91</v>
      </c>
      <c r="B1" s="2" t="s">
        <v>73</v>
      </c>
      <c r="C1" s="2" t="s">
        <v>261</v>
      </c>
      <c r="D1" s="2">
        <v>1</v>
      </c>
      <c r="E1" s="2">
        <v>2</v>
      </c>
      <c r="F1" s="2" t="s">
        <v>333</v>
      </c>
      <c r="G1" s="2" t="s">
        <v>334</v>
      </c>
      <c r="H1" s="2" t="s">
        <v>335</v>
      </c>
      <c r="I1" s="2" t="s">
        <v>263</v>
      </c>
      <c r="J1" s="2" t="s">
        <v>265</v>
      </c>
      <c r="K1" s="2" t="s">
        <v>267</v>
      </c>
      <c r="L1" s="2" t="s">
        <v>337</v>
      </c>
      <c r="M1" s="2" t="s">
        <v>336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tabSelected="1" topLeftCell="A13" workbookViewId="0">
      <selection activeCell="F32" sqref="F32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268</v>
      </c>
      <c r="D1" s="2" t="s">
        <v>1046</v>
      </c>
      <c r="E1" s="8" t="s">
        <v>10</v>
      </c>
      <c r="F1" s="8" t="s">
        <v>21</v>
      </c>
      <c r="G1" s="2" t="s">
        <v>592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612</v>
      </c>
      <c r="B2" s="6" t="s">
        <v>714</v>
      </c>
      <c r="C2" s="6" t="s">
        <v>715</v>
      </c>
      <c r="D2" s="6" t="s">
        <v>1047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5" t="s">
        <v>598</v>
      </c>
      <c r="AE2" s="36"/>
      <c r="AF2" s="37"/>
    </row>
    <row r="3" spans="1:32" x14ac:dyDescent="0.3">
      <c r="A3" s="6" t="s">
        <v>1368</v>
      </c>
      <c r="B3" s="6" t="s">
        <v>716</v>
      </c>
      <c r="C3" s="6" t="s">
        <v>717</v>
      </c>
      <c r="D3" s="6" t="s">
        <v>1048</v>
      </c>
      <c r="E3" s="7" t="s">
        <v>1369</v>
      </c>
      <c r="F3" s="7" t="s">
        <v>24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51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85</v>
      </c>
      <c r="AE3" s="2" t="s">
        <v>86</v>
      </c>
      <c r="AF3" s="2" t="s">
        <v>87</v>
      </c>
    </row>
    <row r="4" spans="1:32" x14ac:dyDescent="0.3">
      <c r="A4" s="6" t="s">
        <v>614</v>
      </c>
      <c r="B4" s="6" t="s">
        <v>718</v>
      </c>
      <c r="C4" s="6" t="s">
        <v>719</v>
      </c>
      <c r="D4" s="6" t="s">
        <v>1049</v>
      </c>
      <c r="E4" s="7" t="s">
        <v>25</v>
      </c>
      <c r="F4" s="7" t="s">
        <v>26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52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593</v>
      </c>
      <c r="AE4" s="6" t="s">
        <v>599</v>
      </c>
      <c r="AF4" s="6" t="s">
        <v>88</v>
      </c>
    </row>
    <row r="5" spans="1:32" x14ac:dyDescent="0.3">
      <c r="A5" s="6" t="s">
        <v>615</v>
      </c>
      <c r="B5" s="6" t="s">
        <v>720</v>
      </c>
      <c r="C5" s="6" t="s">
        <v>721</v>
      </c>
      <c r="D5" s="6" t="s">
        <v>1050</v>
      </c>
      <c r="E5" s="7" t="s">
        <v>1045</v>
      </c>
      <c r="F5" s="7" t="s">
        <v>27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53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594</v>
      </c>
      <c r="AE5" s="6" t="s">
        <v>600</v>
      </c>
      <c r="AF5" s="6" t="s">
        <v>88</v>
      </c>
    </row>
    <row r="6" spans="1:32" x14ac:dyDescent="0.3">
      <c r="A6" s="6" t="s">
        <v>616</v>
      </c>
      <c r="B6" s="6" t="s">
        <v>722</v>
      </c>
      <c r="C6" s="6" t="s">
        <v>723</v>
      </c>
      <c r="D6" s="6" t="s">
        <v>1051</v>
      </c>
      <c r="E6" s="7" t="s">
        <v>1044</v>
      </c>
      <c r="F6" s="7" t="s">
        <v>28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595</v>
      </c>
      <c r="AE6" s="6" t="s">
        <v>601</v>
      </c>
      <c r="AF6" s="6" t="s">
        <v>88</v>
      </c>
    </row>
    <row r="7" spans="1:32" x14ac:dyDescent="0.3">
      <c r="A7" s="6" t="s">
        <v>617</v>
      </c>
      <c r="B7" s="6" t="s">
        <v>724</v>
      </c>
      <c r="C7" s="6" t="s">
        <v>725</v>
      </c>
      <c r="D7" s="6" t="s">
        <v>1052</v>
      </c>
      <c r="E7" s="7" t="s">
        <v>1043</v>
      </c>
      <c r="F7" s="7" t="s">
        <v>29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53</v>
      </c>
      <c r="T7" s="10" t="s">
        <v>54</v>
      </c>
      <c r="U7" s="10" t="s">
        <v>67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596</v>
      </c>
      <c r="AE7" s="6" t="s">
        <v>602</v>
      </c>
      <c r="AF7" s="6" t="s">
        <v>96</v>
      </c>
    </row>
    <row r="8" spans="1:32" x14ac:dyDescent="0.3">
      <c r="A8" s="6" t="s">
        <v>618</v>
      </c>
      <c r="B8" s="6" t="s">
        <v>726</v>
      </c>
      <c r="C8" s="6" t="s">
        <v>727</v>
      </c>
      <c r="D8" s="6" t="s">
        <v>1053</v>
      </c>
      <c r="E8" s="7" t="s">
        <v>30</v>
      </c>
      <c r="F8" s="7" t="s">
        <v>31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68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597</v>
      </c>
      <c r="AE8" s="6" t="s">
        <v>603</v>
      </c>
      <c r="AF8" s="6" t="s">
        <v>96</v>
      </c>
    </row>
    <row r="9" spans="1:32" x14ac:dyDescent="0.3">
      <c r="A9" s="6" t="s">
        <v>619</v>
      </c>
      <c r="B9" s="6" t="s">
        <v>728</v>
      </c>
      <c r="C9" s="6" t="s">
        <v>729</v>
      </c>
      <c r="D9" s="6" t="s">
        <v>1054</v>
      </c>
      <c r="E9" s="7" t="s">
        <v>32</v>
      </c>
      <c r="F9" s="7" t="s">
        <v>33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591</v>
      </c>
      <c r="AE9" s="6" t="s">
        <v>604</v>
      </c>
      <c r="AF9" s="6" t="s">
        <v>100</v>
      </c>
    </row>
    <row r="10" spans="1:32" x14ac:dyDescent="0.3">
      <c r="A10" s="6" t="s">
        <v>620</v>
      </c>
      <c r="B10" s="6" t="s">
        <v>730</v>
      </c>
      <c r="C10" s="6" t="s">
        <v>731</v>
      </c>
      <c r="D10" s="6" t="s">
        <v>1055</v>
      </c>
      <c r="E10" s="7" t="s">
        <v>1042</v>
      </c>
      <c r="F10" s="7" t="s">
        <v>34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51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606</v>
      </c>
      <c r="AE10" s="6" t="s">
        <v>605</v>
      </c>
      <c r="AF10" s="6" t="s">
        <v>607</v>
      </c>
    </row>
    <row r="11" spans="1:32" x14ac:dyDescent="0.3">
      <c r="A11" s="6" t="s">
        <v>621</v>
      </c>
      <c r="B11" s="6" t="s">
        <v>732</v>
      </c>
      <c r="C11" s="6" t="s">
        <v>733</v>
      </c>
      <c r="D11" s="6" t="s">
        <v>1056</v>
      </c>
      <c r="E11" s="7" t="s">
        <v>1041</v>
      </c>
      <c r="F11" s="7" t="s">
        <v>35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51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622</v>
      </c>
      <c r="B12" s="6" t="s">
        <v>734</v>
      </c>
      <c r="C12" s="6" t="s">
        <v>735</v>
      </c>
      <c r="D12" s="6" t="s">
        <v>1057</v>
      </c>
      <c r="E12" s="7" t="s">
        <v>1211</v>
      </c>
      <c r="F12" s="7" t="s">
        <v>1126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52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623</v>
      </c>
      <c r="B13" s="6" t="s">
        <v>736</v>
      </c>
      <c r="C13" s="6" t="s">
        <v>737</v>
      </c>
      <c r="D13" s="6" t="s">
        <v>1058</v>
      </c>
      <c r="E13" s="7" t="s">
        <v>36</v>
      </c>
      <c r="F13" s="7" t="s">
        <v>37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624</v>
      </c>
      <c r="B14" s="6" t="s">
        <v>738</v>
      </c>
      <c r="C14" s="6" t="s">
        <v>739</v>
      </c>
      <c r="D14" s="6" t="s">
        <v>1059</v>
      </c>
      <c r="E14" s="7" t="s">
        <v>1040</v>
      </c>
      <c r="F14" s="7" t="s">
        <v>38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51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625</v>
      </c>
      <c r="B15" s="6" t="s">
        <v>740</v>
      </c>
      <c r="C15" s="6" t="s">
        <v>741</v>
      </c>
      <c r="D15" s="6" t="s">
        <v>1060</v>
      </c>
      <c r="E15" s="7" t="s">
        <v>39</v>
      </c>
      <c r="F15" s="7" t="s">
        <v>40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66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626</v>
      </c>
      <c r="B16" s="6" t="s">
        <v>742</v>
      </c>
      <c r="C16" s="6" t="s">
        <v>743</v>
      </c>
      <c r="D16" s="6" t="s">
        <v>1061</v>
      </c>
      <c r="E16" s="7" t="s">
        <v>1039</v>
      </c>
      <c r="F16" s="7" t="s">
        <v>41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52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627</v>
      </c>
      <c r="B17" s="6" t="s">
        <v>744</v>
      </c>
      <c r="C17" s="6" t="s">
        <v>745</v>
      </c>
      <c r="D17" s="6" t="s">
        <v>1062</v>
      </c>
      <c r="E17" s="7" t="s">
        <v>1212</v>
      </c>
      <c r="F17" s="7" t="s">
        <v>42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52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628</v>
      </c>
      <c r="B18" s="6" t="s">
        <v>746</v>
      </c>
      <c r="C18" s="6" t="s">
        <v>747</v>
      </c>
      <c r="D18" s="6" t="s">
        <v>1063</v>
      </c>
      <c r="E18" s="7" t="s">
        <v>1038</v>
      </c>
      <c r="F18" s="7" t="s">
        <v>43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629</v>
      </c>
      <c r="B19" s="6" t="s">
        <v>748</v>
      </c>
      <c r="C19" s="6" t="s">
        <v>749</v>
      </c>
      <c r="D19" s="6" t="s">
        <v>1064</v>
      </c>
      <c r="E19" s="7" t="s">
        <v>44</v>
      </c>
      <c r="F19" s="7" t="s">
        <v>45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53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630</v>
      </c>
      <c r="B20" s="6" t="s">
        <v>750</v>
      </c>
      <c r="C20" s="6" t="s">
        <v>751</v>
      </c>
      <c r="D20" s="6" t="s">
        <v>1065</v>
      </c>
      <c r="E20" s="7" t="s">
        <v>1037</v>
      </c>
      <c r="F20" s="7" t="s">
        <v>46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51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631</v>
      </c>
      <c r="B21" s="6" t="s">
        <v>752</v>
      </c>
      <c r="C21" s="6" t="s">
        <v>753</v>
      </c>
      <c r="D21" s="6" t="s">
        <v>1066</v>
      </c>
      <c r="E21" s="7" t="s">
        <v>1036</v>
      </c>
      <c r="F21" s="7" t="s">
        <v>47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55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632</v>
      </c>
      <c r="B22" s="6" t="s">
        <v>754</v>
      </c>
      <c r="C22" s="6" t="s">
        <v>755</v>
      </c>
      <c r="D22" s="6" t="s">
        <v>1067</v>
      </c>
      <c r="E22" s="7" t="s">
        <v>48</v>
      </c>
      <c r="F22" s="7" t="s">
        <v>49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56</v>
      </c>
      <c r="T22" s="10" t="s">
        <v>57</v>
      </c>
      <c r="U22" s="10" t="s">
        <v>58</v>
      </c>
      <c r="V22" s="10" t="s">
        <v>59</v>
      </c>
      <c r="W22" s="10" t="s">
        <v>60</v>
      </c>
      <c r="X22" s="10" t="s">
        <v>61</v>
      </c>
      <c r="Y22" s="10" t="s">
        <v>62</v>
      </c>
      <c r="Z22" s="10" t="s">
        <v>63</v>
      </c>
      <c r="AA22" s="10" t="s">
        <v>64</v>
      </c>
      <c r="AB22" s="10" t="s">
        <v>65</v>
      </c>
    </row>
    <row r="23" spans="1:28" x14ac:dyDescent="0.3">
      <c r="A23" s="6" t="s">
        <v>633</v>
      </c>
      <c r="B23" s="6" t="s">
        <v>756</v>
      </c>
      <c r="C23" s="6" t="s">
        <v>757</v>
      </c>
      <c r="D23" s="6" t="s">
        <v>1068</v>
      </c>
      <c r="E23" s="7" t="s">
        <v>1213</v>
      </c>
      <c r="F23" s="7" t="s">
        <v>1034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52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1031</v>
      </c>
      <c r="B24" s="6" t="s">
        <v>1032</v>
      </c>
      <c r="C24" s="6" t="s">
        <v>1033</v>
      </c>
      <c r="D24" s="6" t="s">
        <v>1069</v>
      </c>
      <c r="E24" s="7" t="s">
        <v>1214</v>
      </c>
      <c r="F24" s="7" t="s">
        <v>1035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52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634</v>
      </c>
      <c r="B25" s="6" t="s">
        <v>758</v>
      </c>
      <c r="C25" s="6" t="s">
        <v>759</v>
      </c>
      <c r="D25" s="6" t="s">
        <v>1070</v>
      </c>
      <c r="E25" s="7" t="s">
        <v>550</v>
      </c>
      <c r="F25" s="7" t="s">
        <v>563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52</v>
      </c>
      <c r="T25" s="10" t="s">
        <v>568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635</v>
      </c>
      <c r="B26" s="6" t="s">
        <v>760</v>
      </c>
      <c r="C26" s="6" t="s">
        <v>761</v>
      </c>
      <c r="D26" s="6" t="s">
        <v>1071</v>
      </c>
      <c r="E26" s="7" t="s">
        <v>551</v>
      </c>
      <c r="F26" s="7" t="s">
        <v>564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568</v>
      </c>
      <c r="T26" s="10" t="s">
        <v>51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636</v>
      </c>
      <c r="B27" s="6" t="s">
        <v>762</v>
      </c>
      <c r="C27" s="6" t="s">
        <v>763</v>
      </c>
      <c r="D27" s="6" t="s">
        <v>1072</v>
      </c>
      <c r="E27" s="7" t="s">
        <v>552</v>
      </c>
      <c r="F27" s="7" t="s">
        <v>565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569</v>
      </c>
      <c r="T27" s="10" t="s">
        <v>568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637</v>
      </c>
      <c r="B28" s="6" t="s">
        <v>764</v>
      </c>
      <c r="C28" s="6" t="s">
        <v>765</v>
      </c>
      <c r="D28" s="6" t="s">
        <v>1073</v>
      </c>
      <c r="E28" s="7" t="s">
        <v>553</v>
      </c>
      <c r="F28" s="7" t="s">
        <v>566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568</v>
      </c>
      <c r="T28" s="10" t="s">
        <v>53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638</v>
      </c>
      <c r="B29" s="6" t="s">
        <v>766</v>
      </c>
      <c r="C29" s="6" t="s">
        <v>767</v>
      </c>
      <c r="D29" s="6" t="s">
        <v>1074</v>
      </c>
      <c r="E29" s="7" t="s">
        <v>554</v>
      </c>
      <c r="F29" s="7" t="s">
        <v>567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51</v>
      </c>
      <c r="T29" s="10" t="s">
        <v>51</v>
      </c>
      <c r="U29" s="10" t="s">
        <v>51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639</v>
      </c>
      <c r="B30" s="6" t="s">
        <v>768</v>
      </c>
      <c r="C30" s="6" t="s">
        <v>769</v>
      </c>
      <c r="D30" s="6" t="s">
        <v>1075</v>
      </c>
      <c r="E30" s="7" t="s">
        <v>555</v>
      </c>
      <c r="F30" s="7" t="s">
        <v>570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568</v>
      </c>
      <c r="T30" s="10" t="s">
        <v>568</v>
      </c>
      <c r="U30" s="10" t="s">
        <v>51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640</v>
      </c>
      <c r="B31" s="6" t="s">
        <v>770</v>
      </c>
      <c r="C31" s="6" t="s">
        <v>771</v>
      </c>
      <c r="D31" s="6" t="s">
        <v>1076</v>
      </c>
      <c r="E31" s="7" t="s">
        <v>556</v>
      </c>
      <c r="F31" s="7" t="s">
        <v>571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51</v>
      </c>
      <c r="T31" s="10" t="s">
        <v>568</v>
      </c>
      <c r="U31" s="10" t="s">
        <v>51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641</v>
      </c>
      <c r="B32" s="6" t="s">
        <v>772</v>
      </c>
      <c r="C32" s="6" t="s">
        <v>773</v>
      </c>
      <c r="D32" s="6" t="s">
        <v>1077</v>
      </c>
      <c r="E32" s="7" t="s">
        <v>557</v>
      </c>
      <c r="F32" s="7" t="s">
        <v>572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52</v>
      </c>
      <c r="T32" s="10" t="s">
        <v>52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642</v>
      </c>
      <c r="B33" s="6" t="s">
        <v>774</v>
      </c>
      <c r="C33" s="6" t="s">
        <v>775</v>
      </c>
      <c r="D33" s="6" t="s">
        <v>1078</v>
      </c>
      <c r="E33" s="7" t="s">
        <v>558</v>
      </c>
      <c r="F33" s="7" t="s">
        <v>574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573</v>
      </c>
      <c r="T33" s="10" t="s">
        <v>568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643</v>
      </c>
      <c r="B34" s="6" t="s">
        <v>776</v>
      </c>
      <c r="C34" s="6" t="s">
        <v>777</v>
      </c>
      <c r="D34" s="6" t="s">
        <v>1079</v>
      </c>
      <c r="E34" s="7" t="s">
        <v>559</v>
      </c>
      <c r="F34" s="7" t="s">
        <v>574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573</v>
      </c>
      <c r="T34" s="10" t="s">
        <v>568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644</v>
      </c>
      <c r="B35" s="6" t="s">
        <v>778</v>
      </c>
      <c r="C35" s="6" t="s">
        <v>779</v>
      </c>
      <c r="D35" s="6" t="s">
        <v>1080</v>
      </c>
      <c r="E35" s="7" t="s">
        <v>560</v>
      </c>
      <c r="F35" s="7" t="s">
        <v>574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573</v>
      </c>
      <c r="T35" s="10" t="s">
        <v>568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645</v>
      </c>
      <c r="B36" s="6" t="s">
        <v>780</v>
      </c>
      <c r="C36" s="6" t="s">
        <v>781</v>
      </c>
      <c r="D36" s="6" t="s">
        <v>1081</v>
      </c>
      <c r="E36" s="7" t="s">
        <v>561</v>
      </c>
      <c r="F36" s="7" t="s">
        <v>574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573</v>
      </c>
      <c r="T36" s="10" t="s">
        <v>568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646</v>
      </c>
      <c r="B37" s="6" t="s">
        <v>782</v>
      </c>
      <c r="C37" s="6" t="s">
        <v>783</v>
      </c>
      <c r="D37" s="6" t="s">
        <v>1082</v>
      </c>
      <c r="E37" s="7" t="s">
        <v>562</v>
      </c>
      <c r="F37" s="7" t="s">
        <v>575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568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798</v>
      </c>
      <c r="B38" s="6" t="s">
        <v>802</v>
      </c>
      <c r="C38" s="6" t="s">
        <v>803</v>
      </c>
      <c r="D38" s="6" t="s">
        <v>1083</v>
      </c>
      <c r="E38" s="7" t="s">
        <v>793</v>
      </c>
      <c r="F38" s="7" t="s">
        <v>797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799</v>
      </c>
      <c r="B39" s="6" t="s">
        <v>804</v>
      </c>
      <c r="C39" s="6" t="s">
        <v>805</v>
      </c>
      <c r="D39" s="6" t="s">
        <v>1084</v>
      </c>
      <c r="E39" s="7" t="s">
        <v>794</v>
      </c>
      <c r="F39" s="7" t="s">
        <v>810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800</v>
      </c>
      <c r="B40" s="6" t="s">
        <v>806</v>
      </c>
      <c r="C40" s="6" t="s">
        <v>807</v>
      </c>
      <c r="D40" s="6" t="s">
        <v>1085</v>
      </c>
      <c r="E40" s="7" t="s">
        <v>795</v>
      </c>
      <c r="F40" s="7" t="s">
        <v>811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801</v>
      </c>
      <c r="B41" s="6" t="s">
        <v>808</v>
      </c>
      <c r="C41" s="6" t="s">
        <v>809</v>
      </c>
      <c r="D41" s="6" t="s">
        <v>1086</v>
      </c>
      <c r="E41" s="7" t="s">
        <v>796</v>
      </c>
      <c r="F41" s="7" t="s">
        <v>812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827</v>
      </c>
      <c r="B42" s="6" t="s">
        <v>828</v>
      </c>
      <c r="C42" s="6" t="s">
        <v>829</v>
      </c>
      <c r="D42" s="6" t="s">
        <v>1087</v>
      </c>
      <c r="E42" s="7" t="s">
        <v>814</v>
      </c>
      <c r="F42" s="7" t="s">
        <v>973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51</v>
      </c>
    </row>
    <row r="43" spans="1:28" x14ac:dyDescent="0.3">
      <c r="A43" s="6" t="s">
        <v>830</v>
      </c>
      <c r="B43" s="6" t="s">
        <v>831</v>
      </c>
      <c r="C43" s="6" t="s">
        <v>832</v>
      </c>
      <c r="D43" s="6" t="s">
        <v>1088</v>
      </c>
      <c r="E43" s="7" t="s">
        <v>815</v>
      </c>
      <c r="F43" s="7" t="s">
        <v>974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51</v>
      </c>
    </row>
    <row r="44" spans="1:28" x14ac:dyDescent="0.3">
      <c r="A44" s="6" t="s">
        <v>833</v>
      </c>
      <c r="B44" s="6" t="s">
        <v>834</v>
      </c>
      <c r="C44" s="6" t="s">
        <v>835</v>
      </c>
      <c r="D44" s="6" t="s">
        <v>1089</v>
      </c>
      <c r="E44" s="7" t="s">
        <v>816</v>
      </c>
      <c r="F44" s="7" t="s">
        <v>975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51</v>
      </c>
    </row>
    <row r="45" spans="1:28" x14ac:dyDescent="0.3">
      <c r="A45" s="6" t="s">
        <v>836</v>
      </c>
      <c r="B45" s="6" t="s">
        <v>837</v>
      </c>
      <c r="C45" s="6" t="s">
        <v>838</v>
      </c>
      <c r="D45" s="6" t="s">
        <v>1090</v>
      </c>
      <c r="E45" s="7" t="s">
        <v>813</v>
      </c>
      <c r="F45" s="7" t="s">
        <v>976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52</v>
      </c>
    </row>
    <row r="46" spans="1:28" x14ac:dyDescent="0.3">
      <c r="A46" s="6" t="s">
        <v>839</v>
      </c>
      <c r="B46" s="6" t="s">
        <v>840</v>
      </c>
      <c r="C46" s="6" t="s">
        <v>841</v>
      </c>
      <c r="D46" s="6" t="s">
        <v>1091</v>
      </c>
      <c r="E46" s="7" t="s">
        <v>817</v>
      </c>
      <c r="F46" s="7" t="s">
        <v>977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52</v>
      </c>
    </row>
    <row r="47" spans="1:28" x14ac:dyDescent="0.3">
      <c r="A47" s="6" t="s">
        <v>842</v>
      </c>
      <c r="B47" s="6" t="s">
        <v>843</v>
      </c>
      <c r="C47" s="6" t="s">
        <v>844</v>
      </c>
      <c r="D47" s="6" t="s">
        <v>1092</v>
      </c>
      <c r="E47" s="7" t="s">
        <v>818</v>
      </c>
      <c r="F47" s="7" t="s">
        <v>978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52</v>
      </c>
    </row>
    <row r="48" spans="1:28" x14ac:dyDescent="0.3">
      <c r="A48" s="6" t="s">
        <v>845</v>
      </c>
      <c r="B48" s="6" t="s">
        <v>846</v>
      </c>
      <c r="C48" s="6" t="s">
        <v>847</v>
      </c>
      <c r="D48" s="6" t="s">
        <v>1093</v>
      </c>
      <c r="E48" s="7" t="s">
        <v>819</v>
      </c>
      <c r="F48" s="7" t="s">
        <v>979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52</v>
      </c>
    </row>
    <row r="49" spans="1:20" x14ac:dyDescent="0.3">
      <c r="A49" s="6" t="s">
        <v>848</v>
      </c>
      <c r="B49" s="6" t="s">
        <v>849</v>
      </c>
      <c r="C49" s="6" t="s">
        <v>850</v>
      </c>
      <c r="D49" s="6" t="s">
        <v>1094</v>
      </c>
      <c r="E49" s="7" t="s">
        <v>820</v>
      </c>
      <c r="F49" s="7" t="s">
        <v>980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52</v>
      </c>
    </row>
    <row r="50" spans="1:20" x14ac:dyDescent="0.3">
      <c r="A50" s="6" t="s">
        <v>851</v>
      </c>
      <c r="B50" s="6" t="s">
        <v>852</v>
      </c>
      <c r="C50" s="6" t="s">
        <v>853</v>
      </c>
      <c r="D50" s="6" t="s">
        <v>1095</v>
      </c>
      <c r="E50" s="7" t="s">
        <v>821</v>
      </c>
      <c r="F50" s="7" t="s">
        <v>981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51</v>
      </c>
    </row>
    <row r="51" spans="1:20" x14ac:dyDescent="0.3">
      <c r="A51" s="6" t="s">
        <v>854</v>
      </c>
      <c r="B51" s="6" t="s">
        <v>855</v>
      </c>
      <c r="C51" s="6" t="s">
        <v>856</v>
      </c>
      <c r="D51" s="6" t="s">
        <v>1096</v>
      </c>
      <c r="E51" s="7" t="s">
        <v>822</v>
      </c>
      <c r="F51" s="7" t="s">
        <v>982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50</v>
      </c>
    </row>
    <row r="52" spans="1:20" x14ac:dyDescent="0.3">
      <c r="A52" s="6" t="s">
        <v>857</v>
      </c>
      <c r="B52" s="6" t="s">
        <v>858</v>
      </c>
      <c r="C52" s="6" t="s">
        <v>859</v>
      </c>
      <c r="D52" s="6" t="s">
        <v>1097</v>
      </c>
      <c r="E52" s="7" t="s">
        <v>823</v>
      </c>
      <c r="F52" s="7" t="s">
        <v>983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50</v>
      </c>
      <c r="T52" s="10" t="s">
        <v>51</v>
      </c>
    </row>
    <row r="53" spans="1:20" x14ac:dyDescent="0.3">
      <c r="A53" s="6" t="s">
        <v>860</v>
      </c>
      <c r="B53" s="6" t="s">
        <v>861</v>
      </c>
      <c r="C53" s="6" t="s">
        <v>862</v>
      </c>
      <c r="D53" s="6" t="s">
        <v>1098</v>
      </c>
      <c r="E53" s="7" t="s">
        <v>824</v>
      </c>
      <c r="F53" s="7" t="s">
        <v>983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50</v>
      </c>
      <c r="T53" s="10" t="s">
        <v>51</v>
      </c>
    </row>
    <row r="54" spans="1:20" x14ac:dyDescent="0.3">
      <c r="A54" s="6" t="s">
        <v>863</v>
      </c>
      <c r="B54" s="6" t="s">
        <v>864</v>
      </c>
      <c r="C54" s="6" t="s">
        <v>865</v>
      </c>
      <c r="D54" s="6" t="s">
        <v>1099</v>
      </c>
      <c r="E54" s="7" t="s">
        <v>825</v>
      </c>
      <c r="F54" s="7" t="s">
        <v>984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50</v>
      </c>
    </row>
    <row r="55" spans="1:20" x14ac:dyDescent="0.3">
      <c r="A55" s="6" t="s">
        <v>866</v>
      </c>
      <c r="B55" s="6" t="s">
        <v>867</v>
      </c>
      <c r="C55" s="6" t="s">
        <v>868</v>
      </c>
      <c r="D55" s="6" t="s">
        <v>1100</v>
      </c>
      <c r="E55" s="7" t="s">
        <v>826</v>
      </c>
      <c r="F55" s="7" t="s">
        <v>986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51</v>
      </c>
    </row>
    <row r="56" spans="1:20" x14ac:dyDescent="0.3">
      <c r="A56" s="6" t="s">
        <v>891</v>
      </c>
      <c r="B56" s="6" t="s">
        <v>892</v>
      </c>
      <c r="C56" s="6" t="s">
        <v>893</v>
      </c>
      <c r="D56" s="6" t="s">
        <v>1101</v>
      </c>
      <c r="E56" s="7" t="s">
        <v>869</v>
      </c>
      <c r="F56" s="7" t="s">
        <v>985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52</v>
      </c>
    </row>
    <row r="57" spans="1:20" x14ac:dyDescent="0.3">
      <c r="A57" s="6" t="s">
        <v>894</v>
      </c>
      <c r="B57" s="6" t="s">
        <v>895</v>
      </c>
      <c r="C57" s="6" t="s">
        <v>896</v>
      </c>
      <c r="D57" s="6" t="s">
        <v>1102</v>
      </c>
      <c r="E57" s="7" t="s">
        <v>870</v>
      </c>
      <c r="F57" s="7" t="s">
        <v>987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52</v>
      </c>
    </row>
    <row r="58" spans="1:20" x14ac:dyDescent="0.3">
      <c r="A58" s="6" t="s">
        <v>897</v>
      </c>
      <c r="B58" s="6" t="s">
        <v>898</v>
      </c>
      <c r="C58" s="6" t="s">
        <v>899</v>
      </c>
      <c r="D58" s="6" t="s">
        <v>1103</v>
      </c>
      <c r="E58" s="7" t="s">
        <v>871</v>
      </c>
      <c r="F58" s="7" t="s">
        <v>995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52</v>
      </c>
    </row>
    <row r="59" spans="1:20" x14ac:dyDescent="0.3">
      <c r="A59" s="6" t="s">
        <v>900</v>
      </c>
      <c r="B59" s="6" t="s">
        <v>901</v>
      </c>
      <c r="C59" s="6" t="s">
        <v>902</v>
      </c>
      <c r="D59" s="6" t="s">
        <v>1104</v>
      </c>
      <c r="E59" s="7" t="s">
        <v>872</v>
      </c>
      <c r="F59" s="7" t="s">
        <v>988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51</v>
      </c>
    </row>
    <row r="60" spans="1:20" x14ac:dyDescent="0.3">
      <c r="A60" s="6" t="s">
        <v>903</v>
      </c>
      <c r="B60" s="6" t="s">
        <v>904</v>
      </c>
      <c r="C60" s="6" t="s">
        <v>905</v>
      </c>
      <c r="D60" s="6" t="s">
        <v>1105</v>
      </c>
      <c r="E60" s="7" t="s">
        <v>873</v>
      </c>
      <c r="F60" s="7" t="s">
        <v>989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50</v>
      </c>
    </row>
    <row r="61" spans="1:20" x14ac:dyDescent="0.3">
      <c r="A61" s="6" t="s">
        <v>906</v>
      </c>
      <c r="B61" s="6" t="s">
        <v>907</v>
      </c>
      <c r="C61" s="6" t="s">
        <v>908</v>
      </c>
      <c r="D61" s="6" t="s">
        <v>1106</v>
      </c>
      <c r="E61" s="7" t="s">
        <v>877</v>
      </c>
      <c r="F61" s="7" t="s">
        <v>990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51</v>
      </c>
      <c r="T61" s="10" t="s">
        <v>51</v>
      </c>
    </row>
    <row r="62" spans="1:20" x14ac:dyDescent="0.3">
      <c r="A62" s="6" t="s">
        <v>909</v>
      </c>
      <c r="B62" s="6" t="s">
        <v>910</v>
      </c>
      <c r="C62" s="6" t="s">
        <v>911</v>
      </c>
      <c r="D62" s="6" t="s">
        <v>1107</v>
      </c>
      <c r="E62" s="7" t="s">
        <v>874</v>
      </c>
      <c r="F62" s="7" t="s">
        <v>991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51</v>
      </c>
    </row>
    <row r="63" spans="1:20" x14ac:dyDescent="0.3">
      <c r="A63" s="6" t="s">
        <v>912</v>
      </c>
      <c r="B63" s="6" t="s">
        <v>913</v>
      </c>
      <c r="C63" s="6" t="s">
        <v>914</v>
      </c>
      <c r="D63" s="6" t="s">
        <v>1108</v>
      </c>
      <c r="E63" s="7" t="s">
        <v>875</v>
      </c>
      <c r="F63" s="7" t="s">
        <v>878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915</v>
      </c>
      <c r="B64" s="6" t="s">
        <v>916</v>
      </c>
      <c r="C64" s="6" t="s">
        <v>917</v>
      </c>
      <c r="D64" s="6" t="s">
        <v>1109</v>
      </c>
      <c r="E64" s="7" t="s">
        <v>876</v>
      </c>
      <c r="F64" s="7" t="s">
        <v>992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50</v>
      </c>
      <c r="T64" s="10" t="s">
        <v>51</v>
      </c>
    </row>
    <row r="65" spans="1:20" x14ac:dyDescent="0.3">
      <c r="A65" s="6" t="s">
        <v>918</v>
      </c>
      <c r="B65" s="6" t="s">
        <v>919</v>
      </c>
      <c r="C65" s="6" t="s">
        <v>920</v>
      </c>
      <c r="D65" s="6" t="s">
        <v>1110</v>
      </c>
      <c r="E65" s="7" t="s">
        <v>879</v>
      </c>
      <c r="F65" s="7" t="s">
        <v>993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52</v>
      </c>
      <c r="T65" s="10" t="s">
        <v>568</v>
      </c>
    </row>
    <row r="66" spans="1:20" x14ac:dyDescent="0.3">
      <c r="A66" s="6" t="s">
        <v>921</v>
      </c>
      <c r="B66" s="6" t="s">
        <v>922</v>
      </c>
      <c r="C66" s="6" t="s">
        <v>923</v>
      </c>
      <c r="D66" s="6" t="s">
        <v>1111</v>
      </c>
      <c r="E66" s="7" t="s">
        <v>880</v>
      </c>
      <c r="F66" s="7" t="s">
        <v>994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573</v>
      </c>
    </row>
    <row r="67" spans="1:20" x14ac:dyDescent="0.3">
      <c r="A67" s="6" t="s">
        <v>924</v>
      </c>
      <c r="B67" s="6" t="s">
        <v>925</v>
      </c>
      <c r="C67" s="6" t="s">
        <v>926</v>
      </c>
      <c r="D67" s="6" t="s">
        <v>1112</v>
      </c>
      <c r="E67" s="7" t="s">
        <v>881</v>
      </c>
      <c r="F67" s="7" t="s">
        <v>996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52</v>
      </c>
    </row>
    <row r="68" spans="1:20" x14ac:dyDescent="0.3">
      <c r="A68" s="6" t="s">
        <v>927</v>
      </c>
      <c r="B68" s="6" t="s">
        <v>928</v>
      </c>
      <c r="C68" s="6" t="s">
        <v>929</v>
      </c>
      <c r="D68" s="6" t="s">
        <v>1113</v>
      </c>
      <c r="E68" s="7" t="s">
        <v>882</v>
      </c>
      <c r="F68" s="7" t="s">
        <v>890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930</v>
      </c>
      <c r="B69" s="6" t="s">
        <v>931</v>
      </c>
      <c r="C69" s="6" t="s">
        <v>932</v>
      </c>
      <c r="D69" s="6" t="s">
        <v>1114</v>
      </c>
      <c r="E69" s="7" t="s">
        <v>883</v>
      </c>
      <c r="F69" s="7" t="s">
        <v>997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50</v>
      </c>
    </row>
    <row r="70" spans="1:20" x14ac:dyDescent="0.3">
      <c r="A70" s="6" t="s">
        <v>933</v>
      </c>
      <c r="B70" s="6" t="s">
        <v>934</v>
      </c>
      <c r="C70" s="6" t="s">
        <v>935</v>
      </c>
      <c r="D70" s="6" t="s">
        <v>1115</v>
      </c>
      <c r="E70" s="7" t="s">
        <v>884</v>
      </c>
      <c r="F70" s="7" t="s">
        <v>998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51</v>
      </c>
    </row>
    <row r="71" spans="1:20" x14ac:dyDescent="0.3">
      <c r="A71" s="6" t="s">
        <v>936</v>
      </c>
      <c r="B71" s="6" t="s">
        <v>937</v>
      </c>
      <c r="C71" s="6" t="s">
        <v>938</v>
      </c>
      <c r="D71" s="6" t="s">
        <v>1116</v>
      </c>
      <c r="E71" s="7" t="s">
        <v>885</v>
      </c>
      <c r="F71" s="7" t="s">
        <v>999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51</v>
      </c>
    </row>
    <row r="72" spans="1:20" x14ac:dyDescent="0.3">
      <c r="A72" s="6" t="s">
        <v>939</v>
      </c>
      <c r="B72" s="6" t="s">
        <v>940</v>
      </c>
      <c r="C72" s="6" t="s">
        <v>941</v>
      </c>
      <c r="D72" s="6" t="s">
        <v>1117</v>
      </c>
      <c r="E72" s="7" t="s">
        <v>886</v>
      </c>
      <c r="F72" s="7" t="s">
        <v>1000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1001</v>
      </c>
    </row>
    <row r="73" spans="1:20" x14ac:dyDescent="0.3">
      <c r="A73" s="6" t="s">
        <v>942</v>
      </c>
      <c r="B73" s="6" t="s">
        <v>943</v>
      </c>
      <c r="C73" s="6" t="s">
        <v>944</v>
      </c>
      <c r="D73" s="6" t="s">
        <v>1118</v>
      </c>
      <c r="E73" s="7" t="s">
        <v>887</v>
      </c>
      <c r="F73" s="7" t="s">
        <v>889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945</v>
      </c>
      <c r="B74" s="6" t="s">
        <v>946</v>
      </c>
      <c r="C74" s="6" t="s">
        <v>947</v>
      </c>
      <c r="D74" s="6" t="s">
        <v>1119</v>
      </c>
      <c r="E74" s="7" t="s">
        <v>888</v>
      </c>
      <c r="F74" s="7" t="s">
        <v>1002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50</v>
      </c>
      <c r="T74" s="10" t="s">
        <v>51</v>
      </c>
    </row>
    <row r="75" spans="1:20" x14ac:dyDescent="0.3">
      <c r="A75" s="6" t="s">
        <v>954</v>
      </c>
      <c r="B75" s="6" t="s">
        <v>955</v>
      </c>
      <c r="C75" s="6" t="s">
        <v>956</v>
      </c>
      <c r="D75" s="6" t="s">
        <v>1120</v>
      </c>
      <c r="E75" s="7" t="s">
        <v>948</v>
      </c>
      <c r="F75" s="7" t="s">
        <v>1003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568</v>
      </c>
      <c r="T75" s="10" t="s">
        <v>568</v>
      </c>
    </row>
    <row r="76" spans="1:20" x14ac:dyDescent="0.3">
      <c r="A76" s="6" t="s">
        <v>957</v>
      </c>
      <c r="B76" s="6" t="s">
        <v>958</v>
      </c>
      <c r="C76" s="6" t="s">
        <v>959</v>
      </c>
      <c r="D76" s="6" t="s">
        <v>1121</v>
      </c>
      <c r="E76" s="7" t="s">
        <v>949</v>
      </c>
      <c r="F76" s="7" t="s">
        <v>1004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573</v>
      </c>
    </row>
    <row r="77" spans="1:20" x14ac:dyDescent="0.3">
      <c r="A77" s="6" t="s">
        <v>960</v>
      </c>
      <c r="B77" s="6" t="s">
        <v>961</v>
      </c>
      <c r="C77" s="6" t="s">
        <v>962</v>
      </c>
      <c r="D77" s="6" t="s">
        <v>1122</v>
      </c>
      <c r="E77" s="7" t="s">
        <v>950</v>
      </c>
      <c r="F77" s="7" t="s">
        <v>1005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51</v>
      </c>
    </row>
    <row r="78" spans="1:20" x14ac:dyDescent="0.3">
      <c r="A78" s="6" t="s">
        <v>963</v>
      </c>
      <c r="B78" s="6" t="s">
        <v>964</v>
      </c>
      <c r="C78" s="6" t="s">
        <v>965</v>
      </c>
      <c r="D78" s="6" t="s">
        <v>1123</v>
      </c>
      <c r="E78" s="7" t="s">
        <v>951</v>
      </c>
      <c r="F78" s="7" t="s">
        <v>972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966</v>
      </c>
      <c r="B79" s="6" t="s">
        <v>967</v>
      </c>
      <c r="C79" s="6" t="s">
        <v>968</v>
      </c>
      <c r="D79" s="6" t="s">
        <v>1124</v>
      </c>
      <c r="E79" s="7" t="s">
        <v>952</v>
      </c>
      <c r="F79" s="7" t="s">
        <v>1006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51</v>
      </c>
      <c r="T79" s="10" t="s">
        <v>51</v>
      </c>
    </row>
    <row r="80" spans="1:20" x14ac:dyDescent="0.3">
      <c r="A80" s="6" t="s">
        <v>969</v>
      </c>
      <c r="B80" s="6" t="s">
        <v>970</v>
      </c>
      <c r="C80" s="6" t="s">
        <v>971</v>
      </c>
      <c r="D80" s="6" t="s">
        <v>1125</v>
      </c>
      <c r="E80" s="7" t="s">
        <v>953</v>
      </c>
      <c r="F80" s="7" t="s">
        <v>1007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50</v>
      </c>
      <c r="T80" s="10" t="s">
        <v>51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>
      <selection activeCell="D33" sqref="D33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91</v>
      </c>
      <c r="B1" s="25" t="s">
        <v>21</v>
      </c>
      <c r="C1" s="2" t="s">
        <v>130</v>
      </c>
      <c r="D1" s="2" t="s">
        <v>131</v>
      </c>
      <c r="E1" s="2" t="s">
        <v>132</v>
      </c>
      <c r="F1" s="2" t="s">
        <v>133</v>
      </c>
      <c r="G1" s="2" t="s">
        <v>134</v>
      </c>
      <c r="H1" s="2" t="s">
        <v>135</v>
      </c>
      <c r="I1" s="2" t="s">
        <v>136</v>
      </c>
      <c r="J1" s="2" t="s">
        <v>137</v>
      </c>
      <c r="K1" s="2" t="s">
        <v>138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647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648</v>
      </c>
      <c r="O2" s="10" t="s">
        <v>649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647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648</v>
      </c>
      <c r="O3" s="10" t="s">
        <v>649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650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651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652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653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654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655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656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657</v>
      </c>
      <c r="O7" s="10" t="s">
        <v>658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659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655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660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661</v>
      </c>
      <c r="O9" s="10" t="s">
        <v>649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662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661</v>
      </c>
      <c r="O10" s="10" t="s">
        <v>649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663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667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664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668</v>
      </c>
      <c r="O12" s="10" t="s">
        <v>655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665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667</v>
      </c>
      <c r="O13" s="10" t="s">
        <v>669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666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667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664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668</v>
      </c>
      <c r="O15" s="10" t="s">
        <v>655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665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667</v>
      </c>
      <c r="O16" s="10" t="s">
        <v>669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784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790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785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791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786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669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787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792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788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649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789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649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A23" s="3">
        <v>123</v>
      </c>
      <c r="B23" s="26" t="s">
        <v>1356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A24" s="3">
        <v>124</v>
      </c>
      <c r="B24" s="26" t="s">
        <v>1357</v>
      </c>
      <c r="C24" s="3">
        <v>1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N24" s="10" t="s">
        <v>655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workbookViewId="0">
      <selection activeCell="G32" sqref="G32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16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91</v>
      </c>
      <c r="B1" s="2" t="s">
        <v>670</v>
      </c>
      <c r="C1" s="2" t="s">
        <v>671</v>
      </c>
      <c r="D1" s="2" t="s">
        <v>672</v>
      </c>
      <c r="E1" s="2" t="s">
        <v>694</v>
      </c>
      <c r="F1" s="25" t="s">
        <v>10</v>
      </c>
      <c r="G1" s="25" t="s">
        <v>21</v>
      </c>
      <c r="H1" s="2" t="s">
        <v>130</v>
      </c>
      <c r="I1" s="2" t="s">
        <v>131</v>
      </c>
      <c r="J1" s="2" t="s">
        <v>132</v>
      </c>
      <c r="K1" s="2" t="s">
        <v>133</v>
      </c>
      <c r="L1" s="2" t="s">
        <v>134</v>
      </c>
      <c r="M1" s="2" t="s">
        <v>135</v>
      </c>
      <c r="N1" s="2" t="s">
        <v>136</v>
      </c>
      <c r="O1" s="2" t="s">
        <v>137</v>
      </c>
      <c r="P1" s="2" t="s">
        <v>138</v>
      </c>
      <c r="Q1" s="2" t="s">
        <v>20</v>
      </c>
      <c r="R1" s="12"/>
      <c r="S1" s="2" t="s">
        <v>130</v>
      </c>
      <c r="T1" s="2" t="s">
        <v>131</v>
      </c>
      <c r="U1" s="2" t="s">
        <v>132</v>
      </c>
      <c r="V1" s="2" t="s">
        <v>133</v>
      </c>
      <c r="W1" s="2" t="s">
        <v>134</v>
      </c>
      <c r="X1" s="2" t="s">
        <v>135</v>
      </c>
      <c r="Y1" s="2" t="s">
        <v>136</v>
      </c>
      <c r="Z1" s="2" t="s">
        <v>137</v>
      </c>
      <c r="AA1" s="2" t="s">
        <v>138</v>
      </c>
      <c r="AB1" s="2" t="s">
        <v>20</v>
      </c>
    </row>
    <row r="2" spans="1:28" x14ac:dyDescent="0.3">
      <c r="A2" s="3">
        <v>1</v>
      </c>
      <c r="B2" s="3">
        <v>1</v>
      </c>
      <c r="C2" s="3" t="s">
        <v>683</v>
      </c>
      <c r="D2" s="3" t="s">
        <v>673</v>
      </c>
      <c r="E2" s="3" t="s">
        <v>1355</v>
      </c>
      <c r="F2" s="26" t="s">
        <v>549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684</v>
      </c>
      <c r="D3" s="3" t="s">
        <v>674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685</v>
      </c>
      <c r="D4" s="3" t="s">
        <v>675</v>
      </c>
      <c r="E4" s="3" t="s">
        <v>1351</v>
      </c>
      <c r="F4" s="26" t="s">
        <v>333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686</v>
      </c>
      <c r="D5" s="3" t="s">
        <v>676</v>
      </c>
      <c r="E5" s="3" t="s">
        <v>1348</v>
      </c>
      <c r="F5" s="26" t="s">
        <v>334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687</v>
      </c>
      <c r="D6" s="3" t="s">
        <v>677</v>
      </c>
      <c r="E6" s="3" t="s">
        <v>1350</v>
      </c>
      <c r="F6" s="26" t="s">
        <v>335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688</v>
      </c>
      <c r="D7" s="3" t="s">
        <v>678</v>
      </c>
      <c r="E7" s="3" t="s">
        <v>1354</v>
      </c>
      <c r="F7" s="26" t="s">
        <v>263</v>
      </c>
      <c r="G7" s="26" t="s">
        <v>693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703</v>
      </c>
      <c r="T7" s="3" t="s">
        <v>704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689</v>
      </c>
      <c r="D8" s="3" t="s">
        <v>679</v>
      </c>
      <c r="E8" s="3">
        <v>0</v>
      </c>
      <c r="F8" s="26" t="s">
        <v>265</v>
      </c>
      <c r="G8" s="26" t="s">
        <v>695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655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690</v>
      </c>
      <c r="D9" s="3" t="s">
        <v>680</v>
      </c>
      <c r="E9" s="3" t="s">
        <v>1349</v>
      </c>
      <c r="F9" s="26" t="s">
        <v>267</v>
      </c>
      <c r="G9" s="26" t="s">
        <v>702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691</v>
      </c>
      <c r="D10" s="3" t="s">
        <v>681</v>
      </c>
      <c r="E10" s="3" t="s">
        <v>1353</v>
      </c>
      <c r="F10" s="26" t="s">
        <v>337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692</v>
      </c>
      <c r="D11" s="3" t="s">
        <v>682</v>
      </c>
      <c r="E11" s="3" t="s">
        <v>1352</v>
      </c>
      <c r="F11" s="26" t="s">
        <v>336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L10"/>
  <sheetViews>
    <sheetView workbookViewId="0"/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4.125" style="3" bestFit="1" customWidth="1"/>
    <col min="6" max="6" width="13" style="3" bestFit="1" customWidth="1"/>
    <col min="7" max="7" width="18.625" style="3" bestFit="1" customWidth="1"/>
    <col min="8" max="8" width="2.625" style="17" customWidth="1"/>
    <col min="9" max="9" width="9" style="1"/>
    <col min="10" max="10" width="15.625" style="1" bestFit="1" customWidth="1"/>
    <col min="11" max="11" width="23.875" style="1" bestFit="1" customWidth="1"/>
    <col min="12" max="16384" width="9" style="1"/>
  </cols>
  <sheetData>
    <row r="1" spans="1:12" x14ac:dyDescent="0.3">
      <c r="A1" s="3" t="s">
        <v>1008</v>
      </c>
      <c r="B1" s="3" t="s">
        <v>1009</v>
      </c>
      <c r="C1" s="3" t="s">
        <v>1010</v>
      </c>
      <c r="D1" s="3" t="s">
        <v>1011</v>
      </c>
      <c r="E1" s="3" t="s">
        <v>1252</v>
      </c>
      <c r="F1" s="3" t="s">
        <v>1254</v>
      </c>
      <c r="G1" s="3" t="s">
        <v>1012</v>
      </c>
    </row>
    <row r="2" spans="1:12" x14ac:dyDescent="0.3">
      <c r="A2" s="3" t="s">
        <v>1130</v>
      </c>
      <c r="B2" s="3" t="s">
        <v>1131</v>
      </c>
      <c r="C2" s="3" t="s">
        <v>1013</v>
      </c>
      <c r="D2" s="3">
        <v>100</v>
      </c>
      <c r="E2" s="3">
        <v>3</v>
      </c>
      <c r="F2" s="3">
        <v>1</v>
      </c>
      <c r="G2" s="3">
        <v>0</v>
      </c>
      <c r="J2" s="35" t="s">
        <v>1127</v>
      </c>
      <c r="K2" s="36"/>
      <c r="L2" s="37"/>
    </row>
    <row r="3" spans="1:12" x14ac:dyDescent="0.3">
      <c r="A3" s="3" t="s">
        <v>1201</v>
      </c>
      <c r="B3" s="3" t="s">
        <v>1202</v>
      </c>
      <c r="C3" s="3" t="s">
        <v>1203</v>
      </c>
      <c r="D3" s="3">
        <v>101</v>
      </c>
      <c r="E3" s="3">
        <v>3</v>
      </c>
      <c r="F3" s="3">
        <v>1</v>
      </c>
      <c r="G3" s="3" t="s">
        <v>1204</v>
      </c>
      <c r="J3" s="2" t="s">
        <v>85</v>
      </c>
      <c r="K3" s="2" t="s">
        <v>86</v>
      </c>
      <c r="L3" s="2" t="s">
        <v>87</v>
      </c>
    </row>
    <row r="4" spans="1:12" x14ac:dyDescent="0.3">
      <c r="A4" s="3" t="s">
        <v>1210</v>
      </c>
      <c r="B4" s="3" t="s">
        <v>1215</v>
      </c>
      <c r="C4" s="3" t="s">
        <v>1216</v>
      </c>
      <c r="D4" s="3">
        <v>102</v>
      </c>
      <c r="E4" s="3">
        <v>3</v>
      </c>
      <c r="F4" s="3">
        <v>1</v>
      </c>
      <c r="G4" s="3" t="s">
        <v>1217</v>
      </c>
      <c r="J4" s="2" t="s">
        <v>1014</v>
      </c>
      <c r="K4" s="6" t="s">
        <v>1015</v>
      </c>
      <c r="L4" s="6" t="s">
        <v>88</v>
      </c>
    </row>
    <row r="5" spans="1:12" x14ac:dyDescent="0.3">
      <c r="J5" s="2" t="s">
        <v>1016</v>
      </c>
      <c r="K5" s="6" t="s">
        <v>1017</v>
      </c>
      <c r="L5" s="6" t="s">
        <v>88</v>
      </c>
    </row>
    <row r="6" spans="1:12" x14ac:dyDescent="0.3">
      <c r="J6" s="2" t="s">
        <v>1018</v>
      </c>
      <c r="K6" s="6" t="s">
        <v>1019</v>
      </c>
      <c r="L6" s="6" t="s">
        <v>96</v>
      </c>
    </row>
    <row r="7" spans="1:12" x14ac:dyDescent="0.3">
      <c r="J7" s="2" t="s">
        <v>1020</v>
      </c>
      <c r="K7" s="6" t="s">
        <v>1021</v>
      </c>
      <c r="L7" s="6" t="s">
        <v>1227</v>
      </c>
    </row>
    <row r="8" spans="1:12" x14ac:dyDescent="0.3">
      <c r="J8" s="2" t="s">
        <v>1251</v>
      </c>
      <c r="K8" s="6" t="s">
        <v>1255</v>
      </c>
      <c r="L8" s="6" t="s">
        <v>122</v>
      </c>
    </row>
    <row r="9" spans="1:12" x14ac:dyDescent="0.3">
      <c r="J9" s="2" t="s">
        <v>1253</v>
      </c>
      <c r="K9" s="6" t="s">
        <v>1256</v>
      </c>
      <c r="L9" s="6" t="s">
        <v>122</v>
      </c>
    </row>
    <row r="10" spans="1:12" x14ac:dyDescent="0.3">
      <c r="J10" s="2" t="s">
        <v>1022</v>
      </c>
      <c r="K10" s="6" t="s">
        <v>1023</v>
      </c>
      <c r="L10" s="6" t="s">
        <v>96</v>
      </c>
    </row>
  </sheetData>
  <mergeCells count="1">
    <mergeCell ref="J2:L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71"/>
  <sheetViews>
    <sheetView topLeftCell="A79" workbookViewId="0">
      <selection activeCell="M99" sqref="M99"/>
    </sheetView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9.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1024</v>
      </c>
      <c r="B1" s="3" t="s">
        <v>1025</v>
      </c>
      <c r="C1" s="3" t="s">
        <v>1026</v>
      </c>
      <c r="D1" s="3" t="s">
        <v>1027</v>
      </c>
      <c r="E1" s="3" t="s">
        <v>1028</v>
      </c>
      <c r="F1" s="29" t="s">
        <v>1029</v>
      </c>
      <c r="G1" s="3" t="s">
        <v>1250</v>
      </c>
      <c r="H1" s="3" t="s">
        <v>1030</v>
      </c>
      <c r="J1" s="1" t="s">
        <v>1218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139</v>
      </c>
      <c r="H2" s="3">
        <v>1</v>
      </c>
      <c r="L2" s="39" t="s">
        <v>1153</v>
      </c>
      <c r="M2" s="39"/>
      <c r="N2" s="39"/>
    </row>
    <row r="3" spans="1:20" x14ac:dyDescent="0.3">
      <c r="A3" s="3">
        <f t="shared" ref="A3:A66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140</v>
      </c>
      <c r="H3" s="3">
        <v>1</v>
      </c>
      <c r="L3" s="10" t="s">
        <v>1138</v>
      </c>
      <c r="M3" s="10" t="s">
        <v>86</v>
      </c>
      <c r="N3" s="10" t="s">
        <v>87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706</v>
      </c>
      <c r="H4" s="3">
        <v>1</v>
      </c>
      <c r="L4" s="10" t="s">
        <v>1139</v>
      </c>
      <c r="M4" s="10" t="s">
        <v>1140</v>
      </c>
      <c r="N4" s="10" t="s">
        <v>88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705</v>
      </c>
      <c r="H5" s="3">
        <v>1</v>
      </c>
      <c r="L5" s="10" t="s">
        <v>1141</v>
      </c>
      <c r="M5" s="10" t="s">
        <v>1142</v>
      </c>
      <c r="N5" s="10" t="s">
        <v>100</v>
      </c>
      <c r="P5" s="42" t="s">
        <v>1154</v>
      </c>
      <c r="Q5" s="42"/>
      <c r="R5" s="42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707</v>
      </c>
      <c r="H6" s="3">
        <v>1</v>
      </c>
      <c r="L6" s="10" t="s">
        <v>1143</v>
      </c>
      <c r="M6" s="10" t="s">
        <v>1144</v>
      </c>
      <c r="N6" s="10" t="s">
        <v>100</v>
      </c>
      <c r="P6" s="3" t="s">
        <v>1155</v>
      </c>
      <c r="Q6" s="3" t="s">
        <v>86</v>
      </c>
      <c r="R6" s="3" t="s">
        <v>1156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708</v>
      </c>
      <c r="H7" s="3">
        <v>1</v>
      </c>
      <c r="L7" s="10" t="s">
        <v>1145</v>
      </c>
      <c r="M7" s="10" t="s">
        <v>1146</v>
      </c>
      <c r="N7" s="10" t="s">
        <v>122</v>
      </c>
      <c r="P7" s="3">
        <v>1</v>
      </c>
      <c r="Q7" s="3" t="s">
        <v>1157</v>
      </c>
      <c r="R7" s="3" t="s">
        <v>1158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709</v>
      </c>
      <c r="H8" s="3">
        <v>1</v>
      </c>
      <c r="L8" s="10" t="s">
        <v>1147</v>
      </c>
      <c r="M8" s="10" t="s">
        <v>1148</v>
      </c>
      <c r="N8" s="10" t="s">
        <v>100</v>
      </c>
      <c r="P8" s="3">
        <v>2</v>
      </c>
      <c r="Q8" s="3" t="s">
        <v>1169</v>
      </c>
      <c r="R8" s="3" t="s">
        <v>1170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171</v>
      </c>
      <c r="H9" s="3">
        <v>1</v>
      </c>
      <c r="L9" s="10" t="s">
        <v>1149</v>
      </c>
      <c r="M9" s="10" t="s">
        <v>1150</v>
      </c>
      <c r="N9" s="10" t="s">
        <v>100</v>
      </c>
      <c r="P9" s="3">
        <v>3</v>
      </c>
      <c r="Q9" s="3" t="s">
        <v>1173</v>
      </c>
      <c r="R9" s="3" t="s">
        <v>1174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710</v>
      </c>
      <c r="H10" s="3">
        <v>1</v>
      </c>
      <c r="L10" s="10" t="s">
        <v>1151</v>
      </c>
      <c r="M10" s="10" t="s">
        <v>1152</v>
      </c>
      <c r="N10" s="10" t="s">
        <v>122</v>
      </c>
      <c r="P10" s="3">
        <v>4</v>
      </c>
      <c r="Q10" s="3" t="s">
        <v>1339</v>
      </c>
      <c r="R10" s="3" t="s">
        <v>1340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711</v>
      </c>
      <c r="H11" s="3">
        <v>1</v>
      </c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174</v>
      </c>
      <c r="H12" s="3">
        <v>1</v>
      </c>
      <c r="P12" s="39" t="s">
        <v>1159</v>
      </c>
      <c r="Q12" s="39"/>
      <c r="R12" s="39"/>
      <c r="S12" s="39"/>
      <c r="T12" s="39"/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175</v>
      </c>
      <c r="H13" s="3">
        <v>1</v>
      </c>
      <c r="P13" s="27" t="s">
        <v>1147</v>
      </c>
      <c r="Q13" s="27" t="s">
        <v>86</v>
      </c>
      <c r="R13" s="27" t="s">
        <v>1149</v>
      </c>
      <c r="S13" s="27" t="s">
        <v>1151</v>
      </c>
      <c r="T13" s="27" t="s">
        <v>1160</v>
      </c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176</v>
      </c>
      <c r="H14" s="3">
        <v>1</v>
      </c>
      <c r="P14" s="27">
        <v>1</v>
      </c>
      <c r="Q14" s="27" t="s">
        <v>1161</v>
      </c>
      <c r="R14" s="27" t="s">
        <v>1162</v>
      </c>
      <c r="S14" s="27"/>
      <c r="T14" s="27"/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177</v>
      </c>
      <c r="H15" s="3">
        <v>1</v>
      </c>
      <c r="P15" s="27">
        <v>2</v>
      </c>
      <c r="Q15" s="27" t="s">
        <v>1164</v>
      </c>
      <c r="R15" s="27" t="s">
        <v>1166</v>
      </c>
      <c r="S15" s="27" t="s">
        <v>1163</v>
      </c>
      <c r="T15" s="27" t="s">
        <v>1167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178</v>
      </c>
      <c r="H16" s="3">
        <v>1</v>
      </c>
      <c r="P16" s="27">
        <v>3</v>
      </c>
      <c r="Q16" s="27" t="s">
        <v>1165</v>
      </c>
      <c r="R16" s="27" t="s">
        <v>593</v>
      </c>
      <c r="S16" s="27" t="s">
        <v>1163</v>
      </c>
      <c r="T16" s="27" t="s">
        <v>1168</v>
      </c>
    </row>
    <row r="17" spans="1:20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179</v>
      </c>
      <c r="H17" s="3">
        <v>1</v>
      </c>
      <c r="P17" s="27">
        <v>4</v>
      </c>
      <c r="Q17" s="27" t="s">
        <v>1171</v>
      </c>
      <c r="R17" s="3" t="s">
        <v>1008</v>
      </c>
      <c r="S17" s="27" t="s">
        <v>1163</v>
      </c>
      <c r="T17" s="27" t="s">
        <v>1172</v>
      </c>
    </row>
    <row r="18" spans="1:20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180</v>
      </c>
      <c r="H18" s="3">
        <v>1</v>
      </c>
    </row>
    <row r="19" spans="1:20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181</v>
      </c>
      <c r="H19" s="3">
        <v>1</v>
      </c>
    </row>
    <row r="20" spans="1:20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182</v>
      </c>
      <c r="H20" s="3">
        <v>1</v>
      </c>
    </row>
    <row r="21" spans="1:20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183</v>
      </c>
      <c r="H21" s="3">
        <v>1</v>
      </c>
    </row>
    <row r="22" spans="1:20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712</v>
      </c>
      <c r="H22" s="3">
        <v>1</v>
      </c>
    </row>
    <row r="23" spans="1:20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713</v>
      </c>
      <c r="H23" s="3">
        <v>1</v>
      </c>
    </row>
    <row r="24" spans="1:20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185</v>
      </c>
      <c r="H24" s="3">
        <v>1</v>
      </c>
    </row>
    <row r="25" spans="1:20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186</v>
      </c>
      <c r="H25" s="3">
        <v>1</v>
      </c>
    </row>
    <row r="26" spans="1:20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187</v>
      </c>
      <c r="H26" s="3">
        <v>1</v>
      </c>
    </row>
    <row r="27" spans="1:20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188</v>
      </c>
      <c r="H27" s="3">
        <v>1</v>
      </c>
    </row>
    <row r="28" spans="1:20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189</v>
      </c>
      <c r="H28" s="3">
        <v>1</v>
      </c>
    </row>
    <row r="29" spans="1:20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190</v>
      </c>
      <c r="H29" s="3">
        <v>1</v>
      </c>
    </row>
    <row r="30" spans="1:20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696</v>
      </c>
      <c r="H30" s="3">
        <v>1</v>
      </c>
    </row>
    <row r="31" spans="1:20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699</v>
      </c>
      <c r="H31" s="3">
        <v>1</v>
      </c>
    </row>
    <row r="32" spans="1:20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247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248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249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250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1132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1133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168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170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429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1134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429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174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429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176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429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178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428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180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428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182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428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1135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1000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균열 지층 분석</v>
      </c>
      <c r="G47" s="3" t="s">
        <v>1137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102</v>
      </c>
      <c r="D48" s="3">
        <v>750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삽</v>
      </c>
      <c r="G48" s="3" t="s">
        <v>1132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102</v>
      </c>
      <c r="D49" s="3">
        <v>750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갈퀴</v>
      </c>
      <c r="G49" s="3" t="s">
        <v>1133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102</v>
      </c>
      <c r="D50" s="3">
        <v>750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황금 삽</v>
      </c>
      <c r="G50" s="3" t="s">
        <v>168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도끼</v>
      </c>
      <c r="G51" s="3" t="s">
        <v>170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215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십자 끌</v>
      </c>
      <c r="G52" s="3" t="s">
        <v>1134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215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곡괭이</v>
      </c>
      <c r="G53" s="3" t="s">
        <v>174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214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새총</v>
      </c>
      <c r="G54" s="3" t="s">
        <v>176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214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모서리 파쇄 해머</v>
      </c>
      <c r="G55" s="3" t="s">
        <v>178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214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집중형 십자 드릴</v>
      </c>
      <c r="G56" s="3" t="s">
        <v>180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214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황금 도끼</v>
      </c>
      <c r="G57" s="3" t="s">
        <v>182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214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대형 가위</v>
      </c>
      <c r="G58" s="3" t="s">
        <v>1135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500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균열 지층 분석</v>
      </c>
      <c r="G59" s="3" t="s">
        <v>1137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750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삽+</v>
      </c>
      <c r="G60" s="3" t="s">
        <v>166</v>
      </c>
      <c r="H60" s="3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750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갈퀴+</v>
      </c>
      <c r="G61" s="3" t="s">
        <v>167</v>
      </c>
      <c r="H61" s="3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750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황금 삽+</v>
      </c>
      <c r="G62" s="3" t="s">
        <v>169</v>
      </c>
      <c r="H62" s="3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750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도끼+</v>
      </c>
      <c r="G63" s="3" t="s">
        <v>171</v>
      </c>
      <c r="H63" s="3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215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십자 끌+</v>
      </c>
      <c r="G64" s="3" t="s">
        <v>1182</v>
      </c>
      <c r="H64" s="3">
        <v>1</v>
      </c>
    </row>
    <row r="65" spans="1:8" x14ac:dyDescent="0.3">
      <c r="A65" s="3">
        <f t="shared" si="0"/>
        <v>64</v>
      </c>
      <c r="B65" s="3">
        <v>1</v>
      </c>
      <c r="C65" s="3">
        <v>102</v>
      </c>
      <c r="D65" s="3">
        <v>215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곡괭이+</v>
      </c>
      <c r="G65" s="3" t="s">
        <v>175</v>
      </c>
      <c r="H65" s="3">
        <v>1</v>
      </c>
    </row>
    <row r="66" spans="1:8" x14ac:dyDescent="0.3">
      <c r="A66" s="3">
        <f t="shared" si="0"/>
        <v>65</v>
      </c>
      <c r="B66" s="3">
        <v>1</v>
      </c>
      <c r="C66" s="3">
        <v>102</v>
      </c>
      <c r="D66" s="3">
        <v>214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새총+</v>
      </c>
      <c r="G66" s="3" t="s">
        <v>177</v>
      </c>
      <c r="H66" s="3">
        <v>1</v>
      </c>
    </row>
    <row r="67" spans="1:8" x14ac:dyDescent="0.3">
      <c r="A67" s="3">
        <f t="shared" ref="A67:A71" si="1">ROW()-1</f>
        <v>66</v>
      </c>
      <c r="B67" s="3">
        <v>1</v>
      </c>
      <c r="C67" s="3">
        <v>102</v>
      </c>
      <c r="D67" s="3">
        <v>214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모서리 파쇄 해머+</v>
      </c>
      <c r="G67" s="3" t="s">
        <v>179</v>
      </c>
      <c r="H67" s="3">
        <v>1</v>
      </c>
    </row>
    <row r="68" spans="1:8" x14ac:dyDescent="0.3">
      <c r="A68" s="3">
        <f t="shared" si="1"/>
        <v>67</v>
      </c>
      <c r="B68" s="3">
        <v>1</v>
      </c>
      <c r="C68" s="3">
        <v>102</v>
      </c>
      <c r="D68" s="3">
        <v>214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집중형 십자 드릴+</v>
      </c>
      <c r="G68" s="3" t="s">
        <v>181</v>
      </c>
      <c r="H68" s="3">
        <v>1</v>
      </c>
    </row>
    <row r="69" spans="1:8" x14ac:dyDescent="0.3">
      <c r="A69" s="3">
        <f t="shared" si="1"/>
        <v>68</v>
      </c>
      <c r="B69" s="3">
        <v>1</v>
      </c>
      <c r="C69" s="3">
        <v>102</v>
      </c>
      <c r="D69" s="3">
        <v>214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황금 도끼+</v>
      </c>
      <c r="G69" s="3" t="s">
        <v>183</v>
      </c>
      <c r="H69" s="3">
        <v>1</v>
      </c>
    </row>
    <row r="70" spans="1:8" x14ac:dyDescent="0.3">
      <c r="A70" s="3">
        <f t="shared" si="1"/>
        <v>69</v>
      </c>
      <c r="B70" s="3">
        <v>1</v>
      </c>
      <c r="C70" s="3">
        <v>102</v>
      </c>
      <c r="D70" s="3">
        <v>214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대형 가위+</v>
      </c>
      <c r="G70" s="3" t="s">
        <v>1183</v>
      </c>
      <c r="H70" s="3">
        <v>1</v>
      </c>
    </row>
    <row r="71" spans="1:8" x14ac:dyDescent="0.3">
      <c r="A71" s="3">
        <f t="shared" si="1"/>
        <v>70</v>
      </c>
      <c r="B71" s="3">
        <v>1</v>
      </c>
      <c r="C71" s="3">
        <v>102</v>
      </c>
      <c r="D71" s="3">
        <v>500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균열 지층 분석+</v>
      </c>
      <c r="G71" s="3" t="s">
        <v>1185</v>
      </c>
      <c r="H71" s="3">
        <v>1</v>
      </c>
    </row>
    <row r="72" spans="1:8" x14ac:dyDescent="0.3">
      <c r="A72" s="3">
        <f t="shared" ref="A72:A99" si="2">ROW()-1</f>
        <v>71</v>
      </c>
      <c r="B72" s="3">
        <v>2</v>
      </c>
      <c r="C72" s="3">
        <v>1011</v>
      </c>
      <c r="D72" s="3">
        <v>6500</v>
      </c>
      <c r="E72" s="3">
        <v>4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도구 카드펙 기본</v>
      </c>
      <c r="G72" s="3" t="s">
        <v>1200</v>
      </c>
      <c r="H72" s="3">
        <v>1</v>
      </c>
    </row>
    <row r="73" spans="1:8" x14ac:dyDescent="0.3">
      <c r="A73" s="3">
        <f t="shared" si="2"/>
        <v>72</v>
      </c>
      <c r="B73" s="3">
        <v>2</v>
      </c>
      <c r="C73" s="3">
        <v>1011</v>
      </c>
      <c r="D73" s="3">
        <v>3500</v>
      </c>
      <c r="E73" s="3">
        <v>4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도구 카드펙 강화</v>
      </c>
      <c r="G73" s="3" t="s">
        <v>1210</v>
      </c>
      <c r="H73" s="3">
        <v>1</v>
      </c>
    </row>
    <row r="74" spans="1:8" x14ac:dyDescent="0.3">
      <c r="A74" s="3">
        <f t="shared" si="2"/>
        <v>73</v>
      </c>
      <c r="B74" s="3">
        <v>2</v>
      </c>
      <c r="C74" s="3">
        <v>1012</v>
      </c>
      <c r="D74" s="3">
        <v>1</v>
      </c>
      <c r="E74" s="3">
        <v>3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정밀 타격 오일</v>
      </c>
      <c r="G74" s="3" t="s">
        <v>1186</v>
      </c>
      <c r="H74" s="3">
        <v>1</v>
      </c>
    </row>
    <row r="75" spans="1:8" x14ac:dyDescent="0.3">
      <c r="A75" s="3">
        <f t="shared" si="2"/>
        <v>74</v>
      </c>
      <c r="B75" s="3">
        <v>2</v>
      </c>
      <c r="C75" s="3">
        <v>1012</v>
      </c>
      <c r="D75" s="3">
        <v>1</v>
      </c>
      <c r="E75" s="3">
        <v>3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강화 손잡이</v>
      </c>
      <c r="G75" s="3" t="s">
        <v>613</v>
      </c>
      <c r="H75" s="3">
        <v>1</v>
      </c>
    </row>
    <row r="76" spans="1:8" x14ac:dyDescent="0.3">
      <c r="A76" s="3">
        <f t="shared" si="2"/>
        <v>75</v>
      </c>
      <c r="B76" s="3">
        <v>2</v>
      </c>
      <c r="C76" s="3">
        <v>1012</v>
      </c>
      <c r="D76" s="3">
        <v>1</v>
      </c>
      <c r="E76" s="3">
        <v>3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숙련공의 숫돌</v>
      </c>
      <c r="G76" s="3" t="s">
        <v>614</v>
      </c>
      <c r="H76" s="3">
        <v>1</v>
      </c>
    </row>
    <row r="77" spans="1:8" x14ac:dyDescent="0.3">
      <c r="A77" s="3">
        <f t="shared" si="2"/>
        <v>76</v>
      </c>
      <c r="B77" s="3">
        <v>2</v>
      </c>
      <c r="C77" s="3">
        <v>1012</v>
      </c>
      <c r="D77" s="3">
        <v>1</v>
      </c>
      <c r="E77" s="3">
        <v>3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부서진 도구의 기억</v>
      </c>
      <c r="G77" s="3" t="s">
        <v>615</v>
      </c>
      <c r="H77" s="3">
        <v>1</v>
      </c>
    </row>
    <row r="78" spans="1:8" x14ac:dyDescent="0.3">
      <c r="A78" s="3">
        <f t="shared" si="2"/>
        <v>77</v>
      </c>
      <c r="B78" s="3">
        <v>2</v>
      </c>
      <c r="C78" s="3">
        <v>1012</v>
      </c>
      <c r="D78" s="3">
        <v>1</v>
      </c>
      <c r="E78" s="3">
        <v>3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스프레이 마감제</v>
      </c>
      <c r="G78" s="3" t="s">
        <v>616</v>
      </c>
      <c r="H78" s="3">
        <v>1</v>
      </c>
    </row>
    <row r="79" spans="1:8" x14ac:dyDescent="0.3">
      <c r="A79" s="3">
        <f t="shared" si="2"/>
        <v>78</v>
      </c>
      <c r="B79" s="3">
        <v>2</v>
      </c>
      <c r="C79" s="3">
        <v>1012</v>
      </c>
      <c r="D79" s="3">
        <v>1</v>
      </c>
      <c r="E79" s="3">
        <v>3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작은 금괴</v>
      </c>
      <c r="G79" s="3" t="s">
        <v>617</v>
      </c>
      <c r="H79" s="3">
        <v>1</v>
      </c>
    </row>
    <row r="80" spans="1:8" x14ac:dyDescent="0.3">
      <c r="A80" s="3">
        <f t="shared" si="2"/>
        <v>79</v>
      </c>
      <c r="B80" s="3">
        <v>2</v>
      </c>
      <c r="C80" s="3">
        <v>1012</v>
      </c>
      <c r="D80" s="3">
        <v>1</v>
      </c>
      <c r="E80" s="3">
        <v>3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확장 배낭</v>
      </c>
      <c r="G80" s="3" t="s">
        <v>618</v>
      </c>
      <c r="H80" s="3">
        <v>1</v>
      </c>
    </row>
    <row r="81" spans="1:8" x14ac:dyDescent="0.3">
      <c r="A81" s="3">
        <f t="shared" si="2"/>
        <v>80</v>
      </c>
      <c r="B81" s="3">
        <v>2</v>
      </c>
      <c r="C81" s="3">
        <v>1012</v>
      </c>
      <c r="D81" s="3">
        <v>1</v>
      </c>
      <c r="E81" s="3">
        <v>3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정밀 타격 레이저</v>
      </c>
      <c r="G81" s="3" t="s">
        <v>620</v>
      </c>
      <c r="H81" s="3">
        <v>1</v>
      </c>
    </row>
    <row r="82" spans="1:8" x14ac:dyDescent="0.3">
      <c r="A82" s="3">
        <f t="shared" si="2"/>
        <v>81</v>
      </c>
      <c r="B82" s="3">
        <v>2</v>
      </c>
      <c r="C82" s="3">
        <v>1012</v>
      </c>
      <c r="D82" s="3">
        <v>1</v>
      </c>
      <c r="E82" s="3">
        <v>3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광역 공격 망치</v>
      </c>
      <c r="G82" s="3" t="s">
        <v>621</v>
      </c>
      <c r="H82" s="3">
        <v>1</v>
      </c>
    </row>
    <row r="83" spans="1:8" x14ac:dyDescent="0.3">
      <c r="A83" s="3">
        <f t="shared" si="2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긴급 수리 테이프</v>
      </c>
      <c r="G83" s="3" t="s">
        <v>622</v>
      </c>
      <c r="H83" s="3">
        <v>1</v>
      </c>
    </row>
    <row r="84" spans="1:8" x14ac:dyDescent="0.3">
      <c r="A84" s="3">
        <f t="shared" si="2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고대의 나침반</v>
      </c>
      <c r="G84" s="3" t="s">
        <v>623</v>
      </c>
      <c r="H84" s="3">
        <v>1</v>
      </c>
    </row>
    <row r="85" spans="1:8" x14ac:dyDescent="0.3">
      <c r="A85" s="3">
        <f t="shared" si="2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유적 조사 노트</v>
      </c>
      <c r="G85" s="3" t="s">
        <v>625</v>
      </c>
      <c r="H85" s="3">
        <v>1</v>
      </c>
    </row>
    <row r="86" spans="1:8" x14ac:dyDescent="0.3">
      <c r="A86" s="3">
        <f t="shared" si="2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거래기록 장부</v>
      </c>
      <c r="G86" s="3" t="s">
        <v>626</v>
      </c>
      <c r="H86" s="3">
        <v>1</v>
      </c>
    </row>
    <row r="87" spans="1:8" x14ac:dyDescent="0.3">
      <c r="A87" s="3">
        <f t="shared" si="2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대못</v>
      </c>
      <c r="G87" s="3" t="s">
        <v>627</v>
      </c>
      <c r="H87" s="3">
        <v>1</v>
      </c>
    </row>
    <row r="88" spans="1:8" x14ac:dyDescent="0.3">
      <c r="A88" s="3">
        <f t="shared" si="2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균열 파편 강화*</v>
      </c>
      <c r="G88" s="3" t="s">
        <v>628</v>
      </c>
      <c r="H88" s="3">
        <v>1</v>
      </c>
    </row>
    <row r="89" spans="1:8" x14ac:dyDescent="0.3">
      <c r="A89" s="3">
        <f t="shared" si="2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완벽한 도구함</v>
      </c>
      <c r="G89" s="3" t="s">
        <v>629</v>
      </c>
      <c r="H89" s="3">
        <v>1</v>
      </c>
    </row>
    <row r="90" spans="1:8" x14ac:dyDescent="0.3">
      <c r="A90" s="3">
        <f t="shared" si="2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정밀 조준경</v>
      </c>
      <c r="G90" s="3" t="s">
        <v>632</v>
      </c>
      <c r="H90" s="3">
        <v>1</v>
      </c>
    </row>
    <row r="91" spans="1:8" x14ac:dyDescent="0.3">
      <c r="A91" s="3">
        <f t="shared" si="2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수평계</v>
      </c>
      <c r="G91" s="3" t="s">
        <v>633</v>
      </c>
      <c r="H91" s="3">
        <v>1</v>
      </c>
    </row>
    <row r="92" spans="1:8" x14ac:dyDescent="0.3">
      <c r="A92" s="3">
        <f t="shared" si="2"/>
        <v>91</v>
      </c>
      <c r="B92" s="3">
        <v>2</v>
      </c>
      <c r="C92" s="3">
        <v>1012</v>
      </c>
      <c r="D92" s="3">
        <v>1</v>
      </c>
      <c r="E92" s="3">
        <v>3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세로추</v>
      </c>
      <c r="G92" s="3" t="s">
        <v>1187</v>
      </c>
      <c r="H92" s="3">
        <v>1</v>
      </c>
    </row>
    <row r="93" spans="1:8" x14ac:dyDescent="0.3">
      <c r="A93" s="3">
        <f t="shared" si="2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삽</v>
      </c>
      <c r="G93" s="3" t="s">
        <v>1132</v>
      </c>
      <c r="H93" s="3">
        <v>1</v>
      </c>
    </row>
    <row r="94" spans="1:8" x14ac:dyDescent="0.3">
      <c r="A94" s="3">
        <f t="shared" si="2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갈퀴</v>
      </c>
      <c r="G94" s="3" t="s">
        <v>1133</v>
      </c>
      <c r="H94" s="3">
        <v>1</v>
      </c>
    </row>
    <row r="95" spans="1:8" x14ac:dyDescent="0.3">
      <c r="A95" s="3">
        <f t="shared" si="2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황금 삽</v>
      </c>
      <c r="G95" s="3" t="s">
        <v>168</v>
      </c>
      <c r="H95" s="3">
        <v>1</v>
      </c>
    </row>
    <row r="96" spans="1:8" x14ac:dyDescent="0.3">
      <c r="A96" s="3">
        <f t="shared" si="2"/>
        <v>95</v>
      </c>
      <c r="B96" s="3">
        <v>2</v>
      </c>
      <c r="C96" s="3">
        <v>1013</v>
      </c>
      <c r="D96" s="3">
        <v>1200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도끼</v>
      </c>
      <c r="G96" s="3" t="s">
        <v>170</v>
      </c>
      <c r="H96" s="3">
        <v>1</v>
      </c>
    </row>
    <row r="97" spans="1:8" x14ac:dyDescent="0.3">
      <c r="A97" s="3">
        <f t="shared" si="2"/>
        <v>96</v>
      </c>
      <c r="B97" s="3">
        <v>2</v>
      </c>
      <c r="C97" s="3">
        <v>1013</v>
      </c>
      <c r="D97" s="3">
        <v>343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십자 끌</v>
      </c>
      <c r="G97" s="3" t="s">
        <v>1134</v>
      </c>
      <c r="H97" s="3">
        <v>1</v>
      </c>
    </row>
    <row r="98" spans="1:8" x14ac:dyDescent="0.3">
      <c r="A98" s="3">
        <f t="shared" si="2"/>
        <v>97</v>
      </c>
      <c r="B98" s="3">
        <v>2</v>
      </c>
      <c r="C98" s="3">
        <v>1013</v>
      </c>
      <c r="D98" s="3">
        <v>343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곡괭이</v>
      </c>
      <c r="G98" s="3" t="s">
        <v>174</v>
      </c>
      <c r="H98" s="3">
        <v>1</v>
      </c>
    </row>
    <row r="99" spans="1:8" x14ac:dyDescent="0.3">
      <c r="A99" s="3">
        <f t="shared" si="2"/>
        <v>98</v>
      </c>
      <c r="B99" s="3">
        <v>2</v>
      </c>
      <c r="C99" s="3">
        <v>1013</v>
      </c>
      <c r="D99" s="3">
        <v>343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새총</v>
      </c>
      <c r="G99" s="3" t="s">
        <v>176</v>
      </c>
      <c r="H99" s="3">
        <v>1</v>
      </c>
    </row>
    <row r="100" spans="1:8" x14ac:dyDescent="0.3">
      <c r="A100" s="3">
        <f t="shared" ref="A100:A163" si="3">ROW()-1</f>
        <v>99</v>
      </c>
      <c r="B100" s="3">
        <v>2</v>
      </c>
      <c r="C100" s="3">
        <v>1013</v>
      </c>
      <c r="D100" s="3">
        <v>343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모서리 파쇄 해머</v>
      </c>
      <c r="G100" s="3" t="s">
        <v>178</v>
      </c>
      <c r="H100" s="3">
        <v>1</v>
      </c>
    </row>
    <row r="101" spans="1:8" x14ac:dyDescent="0.3">
      <c r="A101" s="3">
        <f t="shared" si="3"/>
        <v>100</v>
      </c>
      <c r="B101" s="3">
        <v>2</v>
      </c>
      <c r="C101" s="3">
        <v>1013</v>
      </c>
      <c r="D101" s="3">
        <v>343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집중형 십자 드릴</v>
      </c>
      <c r="G101" s="3" t="s">
        <v>180</v>
      </c>
      <c r="H101" s="3">
        <v>1</v>
      </c>
    </row>
    <row r="102" spans="1:8" x14ac:dyDescent="0.3">
      <c r="A102" s="3">
        <f t="shared" si="3"/>
        <v>101</v>
      </c>
      <c r="B102" s="3">
        <v>2</v>
      </c>
      <c r="C102" s="3">
        <v>1013</v>
      </c>
      <c r="D102" s="3">
        <v>343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황금 도끼</v>
      </c>
      <c r="G102" s="3" t="s">
        <v>182</v>
      </c>
      <c r="H102" s="3">
        <v>1</v>
      </c>
    </row>
    <row r="103" spans="1:8" x14ac:dyDescent="0.3">
      <c r="A103" s="3">
        <f t="shared" si="3"/>
        <v>102</v>
      </c>
      <c r="B103" s="3">
        <v>2</v>
      </c>
      <c r="C103" s="3">
        <v>1013</v>
      </c>
      <c r="D103" s="3">
        <v>342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대형 가위</v>
      </c>
      <c r="G103" s="3" t="s">
        <v>1135</v>
      </c>
      <c r="H103" s="3">
        <v>1</v>
      </c>
    </row>
    <row r="104" spans="1:8" x14ac:dyDescent="0.3">
      <c r="A104" s="3">
        <f t="shared" si="3"/>
        <v>103</v>
      </c>
      <c r="B104" s="3">
        <v>2</v>
      </c>
      <c r="C104" s="3">
        <v>1013</v>
      </c>
      <c r="D104" s="3">
        <v>800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균열 지층 분석</v>
      </c>
      <c r="G104" s="3" t="s">
        <v>1137</v>
      </c>
      <c r="H104" s="3">
        <v>1</v>
      </c>
    </row>
    <row r="105" spans="1:8" x14ac:dyDescent="0.3">
      <c r="A105" s="3">
        <f t="shared" si="3"/>
        <v>104</v>
      </c>
      <c r="B105" s="3">
        <v>2</v>
      </c>
      <c r="C105" s="3">
        <v>1013</v>
      </c>
      <c r="D105" s="3">
        <v>300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삽+</v>
      </c>
      <c r="G105" s="3" t="s">
        <v>166</v>
      </c>
      <c r="H105" s="3">
        <v>1</v>
      </c>
    </row>
    <row r="106" spans="1:8" x14ac:dyDescent="0.3">
      <c r="A106" s="3">
        <f t="shared" si="3"/>
        <v>105</v>
      </c>
      <c r="B106" s="3">
        <v>2</v>
      </c>
      <c r="C106" s="3">
        <v>1013</v>
      </c>
      <c r="D106" s="3">
        <v>300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갈퀴+</v>
      </c>
      <c r="G106" s="3" t="s">
        <v>167</v>
      </c>
      <c r="H106" s="3">
        <v>1</v>
      </c>
    </row>
    <row r="107" spans="1:8" x14ac:dyDescent="0.3">
      <c r="A107" s="3">
        <f t="shared" si="3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황금 삽+</v>
      </c>
      <c r="G107" s="3" t="s">
        <v>169</v>
      </c>
      <c r="H107" s="3">
        <v>1</v>
      </c>
    </row>
    <row r="108" spans="1:8" x14ac:dyDescent="0.3">
      <c r="A108" s="3">
        <f t="shared" si="3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도끼+</v>
      </c>
      <c r="G108" s="3" t="s">
        <v>171</v>
      </c>
      <c r="H108" s="3">
        <v>1</v>
      </c>
    </row>
    <row r="109" spans="1:8" x14ac:dyDescent="0.3">
      <c r="A109" s="3">
        <f t="shared" si="3"/>
        <v>108</v>
      </c>
      <c r="B109" s="3">
        <v>2</v>
      </c>
      <c r="C109" s="3">
        <v>1013</v>
      </c>
      <c r="D109" s="3">
        <v>86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십자 끌+</v>
      </c>
      <c r="G109" s="3" t="s">
        <v>1182</v>
      </c>
      <c r="H109" s="3">
        <v>1</v>
      </c>
    </row>
    <row r="110" spans="1:8" x14ac:dyDescent="0.3">
      <c r="A110" s="3">
        <f t="shared" si="3"/>
        <v>109</v>
      </c>
      <c r="B110" s="3">
        <v>2</v>
      </c>
      <c r="C110" s="3">
        <v>1013</v>
      </c>
      <c r="D110" s="3">
        <v>86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곡괭이+</v>
      </c>
      <c r="G110" s="3" t="s">
        <v>175</v>
      </c>
      <c r="H110" s="3">
        <v>1</v>
      </c>
    </row>
    <row r="111" spans="1:8" x14ac:dyDescent="0.3">
      <c r="A111" s="3">
        <f t="shared" si="3"/>
        <v>110</v>
      </c>
      <c r="B111" s="3">
        <v>2</v>
      </c>
      <c r="C111" s="3">
        <v>1013</v>
      </c>
      <c r="D111" s="3">
        <v>86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새총+</v>
      </c>
      <c r="G111" s="3" t="s">
        <v>177</v>
      </c>
      <c r="H111" s="3">
        <v>1</v>
      </c>
    </row>
    <row r="112" spans="1:8" x14ac:dyDescent="0.3">
      <c r="A112" s="3">
        <f t="shared" si="3"/>
        <v>111</v>
      </c>
      <c r="B112" s="3">
        <v>2</v>
      </c>
      <c r="C112" s="3">
        <v>1013</v>
      </c>
      <c r="D112" s="3">
        <v>86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모서리 파쇄 해머+</v>
      </c>
      <c r="G112" s="3" t="s">
        <v>179</v>
      </c>
      <c r="H112" s="3">
        <v>1</v>
      </c>
    </row>
    <row r="113" spans="1:8" x14ac:dyDescent="0.3">
      <c r="A113" s="3">
        <f t="shared" si="3"/>
        <v>112</v>
      </c>
      <c r="B113" s="3">
        <v>2</v>
      </c>
      <c r="C113" s="3">
        <v>1013</v>
      </c>
      <c r="D113" s="3">
        <v>86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집중형 십자 드릴+</v>
      </c>
      <c r="G113" s="3" t="s">
        <v>181</v>
      </c>
      <c r="H113" s="3">
        <v>1</v>
      </c>
    </row>
    <row r="114" spans="1:8" x14ac:dyDescent="0.3">
      <c r="A114" s="3">
        <f t="shared" si="3"/>
        <v>113</v>
      </c>
      <c r="B114" s="3">
        <v>2</v>
      </c>
      <c r="C114" s="3">
        <v>1013</v>
      </c>
      <c r="D114" s="3">
        <v>85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황금 도끼+</v>
      </c>
      <c r="G114" s="3" t="s">
        <v>183</v>
      </c>
      <c r="H114" s="3">
        <v>1</v>
      </c>
    </row>
    <row r="115" spans="1:8" x14ac:dyDescent="0.3">
      <c r="A115" s="3">
        <f t="shared" si="3"/>
        <v>114</v>
      </c>
      <c r="B115" s="3">
        <v>2</v>
      </c>
      <c r="C115" s="3">
        <v>1013</v>
      </c>
      <c r="D115" s="3">
        <v>85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대형 가위+</v>
      </c>
      <c r="G115" s="3" t="s">
        <v>1183</v>
      </c>
      <c r="H115" s="3">
        <v>1</v>
      </c>
    </row>
    <row r="116" spans="1:8" x14ac:dyDescent="0.3">
      <c r="A116" s="3">
        <f t="shared" si="3"/>
        <v>115</v>
      </c>
      <c r="B116" s="3">
        <v>2</v>
      </c>
      <c r="C116" s="3">
        <v>1013</v>
      </c>
      <c r="D116" s="3">
        <v>200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균열 지층 분석+</v>
      </c>
      <c r="G116" s="3" t="s">
        <v>1185</v>
      </c>
      <c r="H116" s="3">
        <v>1</v>
      </c>
    </row>
    <row r="117" spans="1:8" x14ac:dyDescent="0.3">
      <c r="A117" s="3">
        <f t="shared" si="3"/>
        <v>116</v>
      </c>
      <c r="B117" s="3">
        <v>3</v>
      </c>
      <c r="C117" s="3">
        <v>1101</v>
      </c>
      <c r="D117" s="3">
        <v>1500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삽</v>
      </c>
      <c r="G117" s="3" t="s">
        <v>1132</v>
      </c>
      <c r="H117" s="3">
        <v>1</v>
      </c>
    </row>
    <row r="118" spans="1:8" x14ac:dyDescent="0.3">
      <c r="A118" s="3">
        <f t="shared" si="3"/>
        <v>117</v>
      </c>
      <c r="B118" s="3">
        <v>3</v>
      </c>
      <c r="C118" s="3">
        <v>1101</v>
      </c>
      <c r="D118" s="3">
        <v>1500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갈퀴</v>
      </c>
      <c r="G118" s="3" t="s">
        <v>1133</v>
      </c>
      <c r="H118" s="3">
        <v>1</v>
      </c>
    </row>
    <row r="119" spans="1:8" x14ac:dyDescent="0.3">
      <c r="A119" s="3">
        <f t="shared" si="3"/>
        <v>118</v>
      </c>
      <c r="B119" s="3">
        <v>3</v>
      </c>
      <c r="C119" s="3">
        <v>1101</v>
      </c>
      <c r="D119" s="3">
        <v>1500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황금 삽</v>
      </c>
      <c r="G119" s="3" t="s">
        <v>168</v>
      </c>
      <c r="H119" s="3">
        <v>1</v>
      </c>
    </row>
    <row r="120" spans="1:8" x14ac:dyDescent="0.3">
      <c r="A120" s="3">
        <f t="shared" si="3"/>
        <v>119</v>
      </c>
      <c r="B120" s="3">
        <v>3</v>
      </c>
      <c r="C120" s="3">
        <v>1101</v>
      </c>
      <c r="D120" s="3">
        <v>1500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도끼</v>
      </c>
      <c r="G120" s="3" t="s">
        <v>170</v>
      </c>
      <c r="H120" s="3">
        <v>1</v>
      </c>
    </row>
    <row r="121" spans="1:8" x14ac:dyDescent="0.3">
      <c r="A121" s="3">
        <f t="shared" si="3"/>
        <v>120</v>
      </c>
      <c r="B121" s="3">
        <v>3</v>
      </c>
      <c r="C121" s="3">
        <v>1101</v>
      </c>
      <c r="D121" s="3">
        <v>429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십자 끌</v>
      </c>
      <c r="G121" s="3" t="s">
        <v>1134</v>
      </c>
      <c r="H121" s="3">
        <v>1</v>
      </c>
    </row>
    <row r="122" spans="1:8" x14ac:dyDescent="0.3">
      <c r="A122" s="3">
        <f t="shared" si="3"/>
        <v>121</v>
      </c>
      <c r="B122" s="3">
        <v>3</v>
      </c>
      <c r="C122" s="3">
        <v>1101</v>
      </c>
      <c r="D122" s="3">
        <v>429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곡괭이</v>
      </c>
      <c r="G122" s="3" t="s">
        <v>174</v>
      </c>
      <c r="H122" s="3">
        <v>1</v>
      </c>
    </row>
    <row r="123" spans="1:8" x14ac:dyDescent="0.3">
      <c r="A123" s="3">
        <f t="shared" si="3"/>
        <v>122</v>
      </c>
      <c r="B123" s="3">
        <v>3</v>
      </c>
      <c r="C123" s="3">
        <v>1101</v>
      </c>
      <c r="D123" s="3">
        <v>429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새총</v>
      </c>
      <c r="G123" s="3" t="s">
        <v>176</v>
      </c>
      <c r="H123" s="3">
        <v>1</v>
      </c>
    </row>
    <row r="124" spans="1:8" x14ac:dyDescent="0.3">
      <c r="A124" s="3">
        <f t="shared" si="3"/>
        <v>123</v>
      </c>
      <c r="B124" s="3">
        <v>3</v>
      </c>
      <c r="C124" s="3">
        <v>1101</v>
      </c>
      <c r="D124" s="3">
        <v>429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모서리 파쇄 해머</v>
      </c>
      <c r="G124" s="3" t="s">
        <v>178</v>
      </c>
      <c r="H124" s="3">
        <v>1</v>
      </c>
    </row>
    <row r="125" spans="1:8" x14ac:dyDescent="0.3">
      <c r="A125" s="3">
        <f t="shared" si="3"/>
        <v>124</v>
      </c>
      <c r="B125" s="3">
        <v>3</v>
      </c>
      <c r="C125" s="3">
        <v>1101</v>
      </c>
      <c r="D125" s="3">
        <v>428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집중형 십자 드릴</v>
      </c>
      <c r="G125" s="3" t="s">
        <v>180</v>
      </c>
      <c r="H125" s="3">
        <v>1</v>
      </c>
    </row>
    <row r="126" spans="1:8" x14ac:dyDescent="0.3">
      <c r="A126" s="3">
        <f t="shared" si="3"/>
        <v>125</v>
      </c>
      <c r="B126" s="3">
        <v>3</v>
      </c>
      <c r="C126" s="3">
        <v>1101</v>
      </c>
      <c r="D126" s="3">
        <v>428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황금 도끼</v>
      </c>
      <c r="G126" s="3" t="s">
        <v>182</v>
      </c>
      <c r="H126" s="3">
        <v>1</v>
      </c>
    </row>
    <row r="127" spans="1:8" x14ac:dyDescent="0.3">
      <c r="A127" s="3">
        <f t="shared" si="3"/>
        <v>126</v>
      </c>
      <c r="B127" s="3">
        <v>3</v>
      </c>
      <c r="C127" s="3">
        <v>1101</v>
      </c>
      <c r="D127" s="3">
        <v>428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대형 가위</v>
      </c>
      <c r="G127" s="3" t="s">
        <v>1135</v>
      </c>
      <c r="H127" s="3">
        <v>1</v>
      </c>
    </row>
    <row r="128" spans="1:8" x14ac:dyDescent="0.3">
      <c r="A128" s="3">
        <f t="shared" si="3"/>
        <v>127</v>
      </c>
      <c r="B128" s="3">
        <v>3</v>
      </c>
      <c r="C128" s="3">
        <v>1101</v>
      </c>
      <c r="D128" s="3">
        <v>1000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균열 지층 분석</v>
      </c>
      <c r="G128" s="3" t="s">
        <v>1137</v>
      </c>
      <c r="H128" s="3">
        <v>1</v>
      </c>
    </row>
    <row r="129" spans="1:10" x14ac:dyDescent="0.3">
      <c r="A129" s="3">
        <f t="shared" si="3"/>
        <v>128</v>
      </c>
      <c r="B129" s="3">
        <v>4</v>
      </c>
      <c r="C129" s="3">
        <v>10101</v>
      </c>
      <c r="D129" s="3">
        <v>1000</v>
      </c>
      <c r="E129" s="3">
        <v>2</v>
      </c>
      <c r="F129" s="29" t="str">
        <f>IF(E129=1,G129&amp;" 골드",IF(E129=2,INDEX('02.CardData'!E:E,MATCH(G129,'02.CardData'!B:B,0)),IF(E129=3,INDEX('03.RelicData'!E:E,MATCH(G129,'03.RelicData'!A:A,0)),IF(E129=4,INDEX('06.PackData'!C:C,MATCH(G129,'06.PackData'!A:A,0)),"X"))))</f>
        <v>십자 끌</v>
      </c>
      <c r="G129" s="3" t="s">
        <v>1134</v>
      </c>
      <c r="H129" s="3">
        <v>1</v>
      </c>
      <c r="J129" s="1">
        <v>10101</v>
      </c>
    </row>
    <row r="130" spans="1:10" x14ac:dyDescent="0.3">
      <c r="A130" s="3">
        <f t="shared" si="3"/>
        <v>129</v>
      </c>
      <c r="B130" s="3">
        <v>4</v>
      </c>
      <c r="C130" s="3">
        <v>10101</v>
      </c>
      <c r="D130" s="3">
        <v>1000</v>
      </c>
      <c r="E130" s="3">
        <v>2</v>
      </c>
      <c r="F130" s="29" t="str">
        <f>IF(E130=1,G130&amp;" 골드",IF(E130=2,INDEX('02.CardData'!E:E,MATCH(G130,'02.CardData'!B:B,0)),IF(E130=3,INDEX('03.RelicData'!E:E,MATCH(G130,'03.RelicData'!A:A,0)),IF(E130=4,INDEX('06.PackData'!C:C,MATCH(G130,'06.PackData'!A:A,0)),"X"))))</f>
        <v>곡괭이</v>
      </c>
      <c r="G130" s="3" t="s">
        <v>174</v>
      </c>
      <c r="H130" s="3">
        <v>1</v>
      </c>
      <c r="J130" s="1">
        <v>10201</v>
      </c>
    </row>
    <row r="131" spans="1:10" x14ac:dyDescent="0.3">
      <c r="A131" s="3">
        <f t="shared" si="3"/>
        <v>130</v>
      </c>
      <c r="B131" s="3">
        <v>4</v>
      </c>
      <c r="C131" s="3">
        <v>10101</v>
      </c>
      <c r="D131" s="3">
        <v>1000</v>
      </c>
      <c r="E131" s="3">
        <v>2</v>
      </c>
      <c r="F131" s="29" t="str">
        <f>IF(E131=1,G131&amp;" 골드",IF(E131=2,INDEX('02.CardData'!E:E,MATCH(G131,'02.CardData'!B:B,0)),IF(E131=3,INDEX('03.RelicData'!E:E,MATCH(G131,'03.RelicData'!A:A,0)),IF(E131=4,INDEX('06.PackData'!C:C,MATCH(G131,'06.PackData'!A:A,0)),"X"))))</f>
        <v>새총</v>
      </c>
      <c r="G131" s="3" t="s">
        <v>176</v>
      </c>
      <c r="H131" s="3">
        <v>1</v>
      </c>
      <c r="J131" s="1">
        <v>10301</v>
      </c>
    </row>
    <row r="132" spans="1:10" x14ac:dyDescent="0.3">
      <c r="A132" s="3">
        <f t="shared" si="3"/>
        <v>131</v>
      </c>
      <c r="B132" s="3">
        <v>4</v>
      </c>
      <c r="C132" s="3">
        <v>10101</v>
      </c>
      <c r="D132" s="3">
        <v>1000</v>
      </c>
      <c r="E132" s="3">
        <v>2</v>
      </c>
      <c r="F132" s="29" t="str">
        <f>IF(E132=1,G132&amp;" 골드",IF(E132=2,INDEX('02.CardData'!E:E,MATCH(G132,'02.CardData'!B:B,0)),IF(E132=3,INDEX('03.RelicData'!E:E,MATCH(G132,'03.RelicData'!A:A,0)),IF(E132=4,INDEX('06.PackData'!C:C,MATCH(G132,'06.PackData'!A:A,0)),"X"))))</f>
        <v>모서리 파쇄 해머</v>
      </c>
      <c r="G132" s="3" t="s">
        <v>178</v>
      </c>
      <c r="H132" s="3">
        <v>1</v>
      </c>
      <c r="J132" s="1">
        <v>10302</v>
      </c>
    </row>
    <row r="133" spans="1:10" x14ac:dyDescent="0.3">
      <c r="A133" s="3">
        <f t="shared" si="3"/>
        <v>132</v>
      </c>
      <c r="B133" s="3">
        <v>4</v>
      </c>
      <c r="C133" s="3">
        <v>10101</v>
      </c>
      <c r="D133" s="3">
        <v>1000</v>
      </c>
      <c r="E133" s="3">
        <v>2</v>
      </c>
      <c r="F133" s="29" t="str">
        <f>IF(E133=1,G133&amp;" 골드",IF(E133=2,INDEX('02.CardData'!E:E,MATCH(G133,'02.CardData'!B:B,0)),IF(E133=3,INDEX('03.RelicData'!E:E,MATCH(G133,'03.RelicData'!A:A,0)),IF(E133=4,INDEX('06.PackData'!C:C,MATCH(G133,'06.PackData'!A:A,0)),"X"))))</f>
        <v>집중형 십자 드릴</v>
      </c>
      <c r="G133" s="3" t="s">
        <v>180</v>
      </c>
      <c r="H133" s="3">
        <v>1</v>
      </c>
    </row>
    <row r="134" spans="1:10" x14ac:dyDescent="0.3">
      <c r="A134" s="3">
        <f t="shared" si="3"/>
        <v>133</v>
      </c>
      <c r="B134" s="3">
        <v>4</v>
      </c>
      <c r="C134" s="3">
        <v>10101</v>
      </c>
      <c r="D134" s="3">
        <v>1000</v>
      </c>
      <c r="E134" s="3">
        <v>2</v>
      </c>
      <c r="F134" s="29" t="str">
        <f>IF(E134=1,G134&amp;" 골드",IF(E134=2,INDEX('02.CardData'!E:E,MATCH(G134,'02.CardData'!B:B,0)),IF(E134=3,INDEX('03.RelicData'!E:E,MATCH(G134,'03.RelicData'!A:A,0)),IF(E134=4,INDEX('06.PackData'!C:C,MATCH(G134,'06.PackData'!A:A,0)),"X"))))</f>
        <v>황금 도끼</v>
      </c>
      <c r="G134" s="3" t="s">
        <v>182</v>
      </c>
      <c r="H134" s="3">
        <v>1</v>
      </c>
    </row>
    <row r="135" spans="1:10" x14ac:dyDescent="0.3">
      <c r="A135" s="3">
        <f t="shared" si="3"/>
        <v>134</v>
      </c>
      <c r="B135" s="3">
        <v>4</v>
      </c>
      <c r="C135" s="3">
        <v>10101</v>
      </c>
      <c r="D135" s="3">
        <v>1000</v>
      </c>
      <c r="E135" s="3">
        <v>2</v>
      </c>
      <c r="F135" s="29" t="str">
        <f>IF(E135=1,G135&amp;" 골드",IF(E135=2,INDEX('02.CardData'!E:E,MATCH(G135,'02.CardData'!B:B,0)),IF(E135=3,INDEX('03.RelicData'!E:E,MATCH(G135,'03.RelicData'!A:A,0)),IF(E135=4,INDEX('06.PackData'!C:C,MATCH(G135,'06.PackData'!A:A,0)),"X"))))</f>
        <v>대형 가위</v>
      </c>
      <c r="G135" s="3" t="s">
        <v>1135</v>
      </c>
      <c r="H135" s="3">
        <v>1</v>
      </c>
    </row>
    <row r="136" spans="1:10" x14ac:dyDescent="0.3">
      <c r="A136" s="3">
        <f t="shared" si="3"/>
        <v>135</v>
      </c>
      <c r="B136" s="3">
        <v>4</v>
      </c>
      <c r="C136" s="3">
        <v>10101</v>
      </c>
      <c r="D136" s="3">
        <v>3000</v>
      </c>
      <c r="E136" s="3">
        <v>2</v>
      </c>
      <c r="F136" s="29" t="str">
        <f>IF(E136=1,G136&amp;" 골드",IF(E136=2,INDEX('02.CardData'!E:E,MATCH(G136,'02.CardData'!B:B,0)),IF(E136=3,INDEX('03.RelicData'!E:E,MATCH(G136,'03.RelicData'!A:A,0)),IF(E136=4,INDEX('06.PackData'!C:C,MATCH(G136,'06.PackData'!A:A,0)),"X"))))</f>
        <v>균열 지층 분석</v>
      </c>
      <c r="G136" s="3" t="s">
        <v>1137</v>
      </c>
      <c r="H136" s="3">
        <v>1</v>
      </c>
    </row>
    <row r="137" spans="1:10" x14ac:dyDescent="0.3">
      <c r="A137" s="3">
        <f t="shared" si="3"/>
        <v>136</v>
      </c>
      <c r="B137" s="3">
        <v>4</v>
      </c>
      <c r="C137" s="3">
        <v>10201</v>
      </c>
      <c r="D137" s="3">
        <v>1000</v>
      </c>
      <c r="E137" s="3">
        <v>2</v>
      </c>
      <c r="F137" s="29" t="str">
        <f>IF(E137=1,G137&amp;" 골드",IF(E137=2,INDEX('02.CardData'!E:E,MATCH(G137,'02.CardData'!B:B,0)),IF(E137=3,INDEX('03.RelicData'!E:E,MATCH(G137,'03.RelicData'!A:A,0)),IF(E137=4,INDEX('06.PackData'!C:C,MATCH(G137,'06.PackData'!A:A,0)),"X"))))</f>
        <v>십자 끌+</v>
      </c>
      <c r="G137" s="3" t="s">
        <v>1182</v>
      </c>
      <c r="H137" s="3">
        <v>1</v>
      </c>
    </row>
    <row r="138" spans="1:10" x14ac:dyDescent="0.3">
      <c r="A138" s="3">
        <f t="shared" si="3"/>
        <v>137</v>
      </c>
      <c r="B138" s="3">
        <v>4</v>
      </c>
      <c r="C138" s="3">
        <v>10201</v>
      </c>
      <c r="D138" s="3">
        <v>1000</v>
      </c>
      <c r="E138" s="3">
        <v>2</v>
      </c>
      <c r="F138" s="29" t="str">
        <f>IF(E138=1,G138&amp;" 골드",IF(E138=2,INDEX('02.CardData'!E:E,MATCH(G138,'02.CardData'!B:B,0)),IF(E138=3,INDEX('03.RelicData'!E:E,MATCH(G138,'03.RelicData'!A:A,0)),IF(E138=4,INDEX('06.PackData'!C:C,MATCH(G138,'06.PackData'!A:A,0)),"X"))))</f>
        <v>곡괭이+</v>
      </c>
      <c r="G138" s="3" t="s">
        <v>175</v>
      </c>
      <c r="H138" s="3">
        <v>1</v>
      </c>
    </row>
    <row r="139" spans="1:10" x14ac:dyDescent="0.3">
      <c r="A139" s="3">
        <f t="shared" si="3"/>
        <v>138</v>
      </c>
      <c r="B139" s="3">
        <v>4</v>
      </c>
      <c r="C139" s="3">
        <v>10201</v>
      </c>
      <c r="D139" s="3">
        <v>1000</v>
      </c>
      <c r="E139" s="3">
        <v>2</v>
      </c>
      <c r="F139" s="29" t="str">
        <f>IF(E139=1,G139&amp;" 골드",IF(E139=2,INDEX('02.CardData'!E:E,MATCH(G139,'02.CardData'!B:B,0)),IF(E139=3,INDEX('03.RelicData'!E:E,MATCH(G139,'03.RelicData'!A:A,0)),IF(E139=4,INDEX('06.PackData'!C:C,MATCH(G139,'06.PackData'!A:A,0)),"X"))))</f>
        <v>새총+</v>
      </c>
      <c r="G139" s="3" t="s">
        <v>177</v>
      </c>
      <c r="H139" s="3">
        <v>1</v>
      </c>
    </row>
    <row r="140" spans="1:10" x14ac:dyDescent="0.3">
      <c r="A140" s="3">
        <f t="shared" si="3"/>
        <v>139</v>
      </c>
      <c r="B140" s="3">
        <v>4</v>
      </c>
      <c r="C140" s="3">
        <v>10201</v>
      </c>
      <c r="D140" s="3">
        <v>1000</v>
      </c>
      <c r="E140" s="3">
        <v>2</v>
      </c>
      <c r="F140" s="29" t="str">
        <f>IF(E140=1,G140&amp;" 골드",IF(E140=2,INDEX('02.CardData'!E:E,MATCH(G140,'02.CardData'!B:B,0)),IF(E140=3,INDEX('03.RelicData'!E:E,MATCH(G140,'03.RelicData'!A:A,0)),IF(E140=4,INDEX('06.PackData'!C:C,MATCH(G140,'06.PackData'!A:A,0)),"X"))))</f>
        <v>모서리 파쇄 해머+</v>
      </c>
      <c r="G140" s="3" t="s">
        <v>179</v>
      </c>
      <c r="H140" s="3">
        <v>1</v>
      </c>
    </row>
    <row r="141" spans="1:10" x14ac:dyDescent="0.3">
      <c r="A141" s="3">
        <f t="shared" si="3"/>
        <v>140</v>
      </c>
      <c r="B141" s="3">
        <v>4</v>
      </c>
      <c r="C141" s="3">
        <v>10201</v>
      </c>
      <c r="D141" s="3">
        <v>1000</v>
      </c>
      <c r="E141" s="3">
        <v>2</v>
      </c>
      <c r="F141" s="29" t="str">
        <f>IF(E141=1,G141&amp;" 골드",IF(E141=2,INDEX('02.CardData'!E:E,MATCH(G141,'02.CardData'!B:B,0)),IF(E141=3,INDEX('03.RelicData'!E:E,MATCH(G141,'03.RelicData'!A:A,0)),IF(E141=4,INDEX('06.PackData'!C:C,MATCH(G141,'06.PackData'!A:A,0)),"X"))))</f>
        <v>집중형 십자 드릴+</v>
      </c>
      <c r="G141" s="3" t="s">
        <v>181</v>
      </c>
      <c r="H141" s="3">
        <v>1</v>
      </c>
    </row>
    <row r="142" spans="1:10" x14ac:dyDescent="0.3">
      <c r="A142" s="3">
        <f t="shared" si="3"/>
        <v>141</v>
      </c>
      <c r="B142" s="3">
        <v>4</v>
      </c>
      <c r="C142" s="3">
        <v>10201</v>
      </c>
      <c r="D142" s="3">
        <v>1000</v>
      </c>
      <c r="E142" s="3">
        <v>2</v>
      </c>
      <c r="F142" s="29" t="str">
        <f>IF(E142=1,G142&amp;" 골드",IF(E142=2,INDEX('02.CardData'!E:E,MATCH(G142,'02.CardData'!B:B,0)),IF(E142=3,INDEX('03.RelicData'!E:E,MATCH(G142,'03.RelicData'!A:A,0)),IF(E142=4,INDEX('06.PackData'!C:C,MATCH(G142,'06.PackData'!A:A,0)),"X"))))</f>
        <v>황금 도끼+</v>
      </c>
      <c r="G142" s="3" t="s">
        <v>183</v>
      </c>
      <c r="H142" s="3">
        <v>1</v>
      </c>
    </row>
    <row r="143" spans="1:10" x14ac:dyDescent="0.3">
      <c r="A143" s="3">
        <f t="shared" si="3"/>
        <v>142</v>
      </c>
      <c r="B143" s="3">
        <v>4</v>
      </c>
      <c r="C143" s="3">
        <v>10201</v>
      </c>
      <c r="D143" s="3">
        <v>1000</v>
      </c>
      <c r="E143" s="3">
        <v>2</v>
      </c>
      <c r="F143" s="29" t="str">
        <f>IF(E143=1,G143&amp;" 골드",IF(E143=2,INDEX('02.CardData'!E:E,MATCH(G143,'02.CardData'!B:B,0)),IF(E143=3,INDEX('03.RelicData'!E:E,MATCH(G143,'03.RelicData'!A:A,0)),IF(E143=4,INDEX('06.PackData'!C:C,MATCH(G143,'06.PackData'!A:A,0)),"X"))))</f>
        <v>대형 가위+</v>
      </c>
      <c r="G143" s="3" t="s">
        <v>1183</v>
      </c>
      <c r="H143" s="3">
        <v>1</v>
      </c>
    </row>
    <row r="144" spans="1:10" x14ac:dyDescent="0.3">
      <c r="A144" s="3">
        <f t="shared" si="3"/>
        <v>143</v>
      </c>
      <c r="B144" s="3">
        <v>4</v>
      </c>
      <c r="C144" s="3">
        <v>10201</v>
      </c>
      <c r="D144" s="3">
        <v>3000</v>
      </c>
      <c r="E144" s="3">
        <v>2</v>
      </c>
      <c r="F144" s="29" t="str">
        <f>IF(E144=1,G144&amp;" 골드",IF(E144=2,INDEX('02.CardData'!E:E,MATCH(G144,'02.CardData'!B:B,0)),IF(E144=3,INDEX('03.RelicData'!E:E,MATCH(G144,'03.RelicData'!A:A,0)),IF(E144=4,INDEX('06.PackData'!C:C,MATCH(G144,'06.PackData'!A:A,0)),"X"))))</f>
        <v>균열 지층 분석+</v>
      </c>
      <c r="G144" s="3" t="s">
        <v>1185</v>
      </c>
      <c r="H144" s="3">
        <v>1</v>
      </c>
    </row>
    <row r="145" spans="1:8" x14ac:dyDescent="0.3">
      <c r="A145" s="3">
        <f t="shared" si="3"/>
        <v>144</v>
      </c>
      <c r="B145" s="3">
        <v>4</v>
      </c>
      <c r="C145" s="3">
        <v>10301</v>
      </c>
      <c r="D145" s="3">
        <v>500</v>
      </c>
      <c r="E145" s="3">
        <v>2</v>
      </c>
      <c r="F145" s="29" t="str">
        <f>IF(E145=1,G145&amp;" 골드",IF(E145=2,INDEX('02.CardData'!E:E,MATCH(G145,'02.CardData'!B:B,0)),IF(E145=3,INDEX('03.RelicData'!E:E,MATCH(G145,'03.RelicData'!A:A,0)),IF(E145=4,INDEX('06.PackData'!C:C,MATCH(G145,'06.PackData'!A:A,0)),"X"))))</f>
        <v>십자 끌+</v>
      </c>
      <c r="G145" s="3" t="s">
        <v>1182</v>
      </c>
      <c r="H145" s="3">
        <v>1</v>
      </c>
    </row>
    <row r="146" spans="1:8" x14ac:dyDescent="0.3">
      <c r="A146" s="3">
        <f t="shared" si="3"/>
        <v>145</v>
      </c>
      <c r="B146" s="3">
        <v>4</v>
      </c>
      <c r="C146" s="3">
        <v>10301</v>
      </c>
      <c r="D146" s="3">
        <v>500</v>
      </c>
      <c r="E146" s="3">
        <v>2</v>
      </c>
      <c r="F146" s="29" t="str">
        <f>IF(E146=1,G146&amp;" 골드",IF(E146=2,INDEX('02.CardData'!E:E,MATCH(G146,'02.CardData'!B:B,0)),IF(E146=3,INDEX('03.RelicData'!E:E,MATCH(G146,'03.RelicData'!A:A,0)),IF(E146=4,INDEX('06.PackData'!C:C,MATCH(G146,'06.PackData'!A:A,0)),"X"))))</f>
        <v>곡괭이+</v>
      </c>
      <c r="G146" s="3" t="s">
        <v>175</v>
      </c>
      <c r="H146" s="3">
        <v>1</v>
      </c>
    </row>
    <row r="147" spans="1:8" x14ac:dyDescent="0.3">
      <c r="A147" s="3">
        <f t="shared" si="3"/>
        <v>146</v>
      </c>
      <c r="B147" s="3">
        <v>4</v>
      </c>
      <c r="C147" s="3">
        <v>10301</v>
      </c>
      <c r="D147" s="3">
        <v>500</v>
      </c>
      <c r="E147" s="3">
        <v>2</v>
      </c>
      <c r="F147" s="29" t="str">
        <f>IF(E147=1,G147&amp;" 골드",IF(E147=2,INDEX('02.CardData'!E:E,MATCH(G147,'02.CardData'!B:B,0)),IF(E147=3,INDEX('03.RelicData'!E:E,MATCH(G147,'03.RelicData'!A:A,0)),IF(E147=4,INDEX('06.PackData'!C:C,MATCH(G147,'06.PackData'!A:A,0)),"X"))))</f>
        <v>새총+</v>
      </c>
      <c r="G147" s="3" t="s">
        <v>177</v>
      </c>
      <c r="H147" s="3">
        <v>1</v>
      </c>
    </row>
    <row r="148" spans="1:8" x14ac:dyDescent="0.3">
      <c r="A148" s="3">
        <f t="shared" si="3"/>
        <v>147</v>
      </c>
      <c r="B148" s="3">
        <v>4</v>
      </c>
      <c r="C148" s="3">
        <v>10301</v>
      </c>
      <c r="D148" s="3">
        <v>500</v>
      </c>
      <c r="E148" s="3">
        <v>2</v>
      </c>
      <c r="F148" s="29" t="str">
        <f>IF(E148=1,G148&amp;" 골드",IF(E148=2,INDEX('02.CardData'!E:E,MATCH(G148,'02.CardData'!B:B,0)),IF(E148=3,INDEX('03.RelicData'!E:E,MATCH(G148,'03.RelicData'!A:A,0)),IF(E148=4,INDEX('06.PackData'!C:C,MATCH(G148,'06.PackData'!A:A,0)),"X"))))</f>
        <v>모서리 파쇄 해머+</v>
      </c>
      <c r="G148" s="3" t="s">
        <v>179</v>
      </c>
      <c r="H148" s="3">
        <v>1</v>
      </c>
    </row>
    <row r="149" spans="1:8" x14ac:dyDescent="0.3">
      <c r="A149" s="3">
        <f t="shared" si="3"/>
        <v>148</v>
      </c>
      <c r="B149" s="3">
        <v>4</v>
      </c>
      <c r="C149" s="3">
        <v>10301</v>
      </c>
      <c r="D149" s="3">
        <v>500</v>
      </c>
      <c r="E149" s="3">
        <v>2</v>
      </c>
      <c r="F149" s="29" t="str">
        <f>IF(E149=1,G149&amp;" 골드",IF(E149=2,INDEX('02.CardData'!E:E,MATCH(G149,'02.CardData'!B:B,0)),IF(E149=3,INDEX('03.RelicData'!E:E,MATCH(G149,'03.RelicData'!A:A,0)),IF(E149=4,INDEX('06.PackData'!C:C,MATCH(G149,'06.PackData'!A:A,0)),"X"))))</f>
        <v>집중형 십자 드릴+</v>
      </c>
      <c r="G149" s="3" t="s">
        <v>181</v>
      </c>
      <c r="H149" s="3">
        <v>1</v>
      </c>
    </row>
    <row r="150" spans="1:8" x14ac:dyDescent="0.3">
      <c r="A150" s="3">
        <f t="shared" si="3"/>
        <v>149</v>
      </c>
      <c r="B150" s="3">
        <v>4</v>
      </c>
      <c r="C150" s="3">
        <v>10301</v>
      </c>
      <c r="D150" s="3">
        <v>500</v>
      </c>
      <c r="E150" s="3">
        <v>2</v>
      </c>
      <c r="F150" s="29" t="str">
        <f>IF(E150=1,G150&amp;" 골드",IF(E150=2,INDEX('02.CardData'!E:E,MATCH(G150,'02.CardData'!B:B,0)),IF(E150=3,INDEX('03.RelicData'!E:E,MATCH(G150,'03.RelicData'!A:A,0)),IF(E150=4,INDEX('06.PackData'!C:C,MATCH(G150,'06.PackData'!A:A,0)),"X"))))</f>
        <v>황금 도끼+</v>
      </c>
      <c r="G150" s="3" t="s">
        <v>183</v>
      </c>
      <c r="H150" s="3">
        <v>1</v>
      </c>
    </row>
    <row r="151" spans="1:8" x14ac:dyDescent="0.3">
      <c r="A151" s="3">
        <f t="shared" si="3"/>
        <v>150</v>
      </c>
      <c r="B151" s="3">
        <v>4</v>
      </c>
      <c r="C151" s="3">
        <v>10301</v>
      </c>
      <c r="D151" s="3">
        <v>500</v>
      </c>
      <c r="E151" s="3">
        <v>2</v>
      </c>
      <c r="F151" s="29" t="str">
        <f>IF(E151=1,G151&amp;" 골드",IF(E151=2,INDEX('02.CardData'!E:E,MATCH(G151,'02.CardData'!B:B,0)),IF(E151=3,INDEX('03.RelicData'!E:E,MATCH(G151,'03.RelicData'!A:A,0)),IF(E151=4,INDEX('06.PackData'!C:C,MATCH(G151,'06.PackData'!A:A,0)),"X"))))</f>
        <v>대형 가위+</v>
      </c>
      <c r="G151" s="3" t="s">
        <v>1183</v>
      </c>
      <c r="H151" s="3">
        <v>1</v>
      </c>
    </row>
    <row r="152" spans="1:8" x14ac:dyDescent="0.3">
      <c r="A152" s="3">
        <f t="shared" si="3"/>
        <v>151</v>
      </c>
      <c r="B152" s="3">
        <v>4</v>
      </c>
      <c r="C152" s="3">
        <v>10301</v>
      </c>
      <c r="D152" s="3">
        <v>6500</v>
      </c>
      <c r="E152" s="3">
        <v>2</v>
      </c>
      <c r="F152" s="29" t="str">
        <f>IF(E152=1,G152&amp;" 골드",IF(E152=2,INDEX('02.CardData'!E:E,MATCH(G152,'02.CardData'!B:B,0)),IF(E152=3,INDEX('03.RelicData'!E:E,MATCH(G152,'03.RelicData'!A:A,0)),IF(E152=4,INDEX('06.PackData'!C:C,MATCH(G152,'06.PackData'!A:A,0)),"X"))))</f>
        <v>균열 지층 분석+</v>
      </c>
      <c r="G152" s="3" t="s">
        <v>1185</v>
      </c>
      <c r="H152" s="3">
        <v>1</v>
      </c>
    </row>
    <row r="153" spans="1:8" x14ac:dyDescent="0.3">
      <c r="A153" s="3">
        <f t="shared" si="3"/>
        <v>152</v>
      </c>
      <c r="B153" s="3">
        <v>4</v>
      </c>
      <c r="C153" s="3">
        <v>10302</v>
      </c>
      <c r="D153" s="3">
        <v>1</v>
      </c>
      <c r="E153" s="3">
        <v>3</v>
      </c>
      <c r="F153" s="29" t="str">
        <f>IF(E153=1,G153&amp;" 골드",IF(E153=2,INDEX('02.CardData'!E:E,MATCH(G153,'02.CardData'!B:B,0)),IF(E153=3,INDEX('03.RelicData'!E:E,MATCH(G153,'03.RelicData'!A:A,0)),IF(E153=4,INDEX('06.PackData'!C:C,MATCH(G153,'06.PackData'!A:A,0)),"X"))))</f>
        <v>정밀 타격 오일</v>
      </c>
      <c r="G153" s="3" t="s">
        <v>1186</v>
      </c>
      <c r="H153" s="3">
        <v>1</v>
      </c>
    </row>
    <row r="154" spans="1:8" x14ac:dyDescent="0.3">
      <c r="A154" s="3">
        <f t="shared" si="3"/>
        <v>153</v>
      </c>
      <c r="B154" s="3">
        <v>4</v>
      </c>
      <c r="C154" s="3">
        <v>10302</v>
      </c>
      <c r="D154" s="3">
        <v>1</v>
      </c>
      <c r="E154" s="3">
        <v>3</v>
      </c>
      <c r="F154" s="29" t="str">
        <f>IF(E154=1,G154&amp;" 골드",IF(E154=2,INDEX('02.CardData'!E:E,MATCH(G154,'02.CardData'!B:B,0)),IF(E154=3,INDEX('03.RelicData'!E:E,MATCH(G154,'03.RelicData'!A:A,0)),IF(E154=4,INDEX('06.PackData'!C:C,MATCH(G154,'06.PackData'!A:A,0)),"X"))))</f>
        <v>강화 손잡이</v>
      </c>
      <c r="G154" s="3" t="s">
        <v>613</v>
      </c>
      <c r="H154" s="3">
        <v>1</v>
      </c>
    </row>
    <row r="155" spans="1:8" x14ac:dyDescent="0.3">
      <c r="A155" s="3">
        <f t="shared" si="3"/>
        <v>154</v>
      </c>
      <c r="B155" s="3">
        <v>4</v>
      </c>
      <c r="C155" s="3">
        <v>10302</v>
      </c>
      <c r="D155" s="3">
        <v>1</v>
      </c>
      <c r="E155" s="3">
        <v>3</v>
      </c>
      <c r="F155" s="29" t="str">
        <f>IF(E155=1,G155&amp;" 골드",IF(E155=2,INDEX('02.CardData'!E:E,MATCH(G155,'02.CardData'!B:B,0)),IF(E155=3,INDEX('03.RelicData'!E:E,MATCH(G155,'03.RelicData'!A:A,0)),IF(E155=4,INDEX('06.PackData'!C:C,MATCH(G155,'06.PackData'!A:A,0)),"X"))))</f>
        <v>숙련공의 숫돌</v>
      </c>
      <c r="G155" s="3" t="s">
        <v>614</v>
      </c>
      <c r="H155" s="3">
        <v>1</v>
      </c>
    </row>
    <row r="156" spans="1:8" x14ac:dyDescent="0.3">
      <c r="A156" s="3">
        <f t="shared" si="3"/>
        <v>155</v>
      </c>
      <c r="B156" s="3">
        <v>4</v>
      </c>
      <c r="C156" s="3">
        <v>10302</v>
      </c>
      <c r="D156" s="3">
        <v>1</v>
      </c>
      <c r="E156" s="3">
        <v>3</v>
      </c>
      <c r="F156" s="29" t="str">
        <f>IF(E156=1,G156&amp;" 골드",IF(E156=2,INDEX('02.CardData'!E:E,MATCH(G156,'02.CardData'!B:B,0)),IF(E156=3,INDEX('03.RelicData'!E:E,MATCH(G156,'03.RelicData'!A:A,0)),IF(E156=4,INDEX('06.PackData'!C:C,MATCH(G156,'06.PackData'!A:A,0)),"X"))))</f>
        <v>부서진 도구의 기억</v>
      </c>
      <c r="G156" s="3" t="s">
        <v>615</v>
      </c>
      <c r="H156" s="3">
        <v>1</v>
      </c>
    </row>
    <row r="157" spans="1:8" x14ac:dyDescent="0.3">
      <c r="A157" s="3">
        <f t="shared" si="3"/>
        <v>156</v>
      </c>
      <c r="B157" s="3">
        <v>4</v>
      </c>
      <c r="C157" s="3">
        <v>10302</v>
      </c>
      <c r="D157" s="3">
        <v>1</v>
      </c>
      <c r="E157" s="3">
        <v>3</v>
      </c>
      <c r="F157" s="29" t="str">
        <f>IF(E157=1,G157&amp;" 골드",IF(E157=2,INDEX('02.CardData'!E:E,MATCH(G157,'02.CardData'!B:B,0)),IF(E157=3,INDEX('03.RelicData'!E:E,MATCH(G157,'03.RelicData'!A:A,0)),IF(E157=4,INDEX('06.PackData'!C:C,MATCH(G157,'06.PackData'!A:A,0)),"X"))))</f>
        <v>스프레이 마감제</v>
      </c>
      <c r="G157" s="3" t="s">
        <v>616</v>
      </c>
      <c r="H157" s="3">
        <v>1</v>
      </c>
    </row>
    <row r="158" spans="1:8" x14ac:dyDescent="0.3">
      <c r="A158" s="3">
        <f t="shared" si="3"/>
        <v>157</v>
      </c>
      <c r="B158" s="3">
        <v>4</v>
      </c>
      <c r="C158" s="3">
        <v>10302</v>
      </c>
      <c r="D158" s="3">
        <v>1</v>
      </c>
      <c r="E158" s="3">
        <v>3</v>
      </c>
      <c r="F158" s="29" t="str">
        <f>IF(E158=1,G158&amp;" 골드",IF(E158=2,INDEX('02.CardData'!E:E,MATCH(G158,'02.CardData'!B:B,0)),IF(E158=3,INDEX('03.RelicData'!E:E,MATCH(G158,'03.RelicData'!A:A,0)),IF(E158=4,INDEX('06.PackData'!C:C,MATCH(G158,'06.PackData'!A:A,0)),"X"))))</f>
        <v>작은 금괴</v>
      </c>
      <c r="G158" s="3" t="s">
        <v>617</v>
      </c>
      <c r="H158" s="3">
        <v>1</v>
      </c>
    </row>
    <row r="159" spans="1:8" x14ac:dyDescent="0.3">
      <c r="A159" s="3">
        <f t="shared" si="3"/>
        <v>158</v>
      </c>
      <c r="B159" s="3">
        <v>4</v>
      </c>
      <c r="C159" s="3">
        <v>10302</v>
      </c>
      <c r="D159" s="3">
        <v>1</v>
      </c>
      <c r="E159" s="3">
        <v>3</v>
      </c>
      <c r="F159" s="29" t="str">
        <f>IF(E159=1,G159&amp;" 골드",IF(E159=2,INDEX('02.CardData'!E:E,MATCH(G159,'02.CardData'!B:B,0)),IF(E159=3,INDEX('03.RelicData'!E:E,MATCH(G159,'03.RelicData'!A:A,0)),IF(E159=4,INDEX('06.PackData'!C:C,MATCH(G159,'06.PackData'!A:A,0)),"X"))))</f>
        <v>확장 배낭</v>
      </c>
      <c r="G159" s="3" t="s">
        <v>618</v>
      </c>
      <c r="H159" s="3">
        <v>1</v>
      </c>
    </row>
    <row r="160" spans="1:8" x14ac:dyDescent="0.3">
      <c r="A160" s="3">
        <f t="shared" si="3"/>
        <v>159</v>
      </c>
      <c r="B160" s="3">
        <v>4</v>
      </c>
      <c r="C160" s="3">
        <v>10302</v>
      </c>
      <c r="D160" s="3">
        <v>1</v>
      </c>
      <c r="E160" s="3">
        <v>3</v>
      </c>
      <c r="F160" s="29" t="str">
        <f>IF(E160=1,G160&amp;" 골드",IF(E160=2,INDEX('02.CardData'!E:E,MATCH(G160,'02.CardData'!B:B,0)),IF(E160=3,INDEX('03.RelicData'!E:E,MATCH(G160,'03.RelicData'!A:A,0)),IF(E160=4,INDEX('06.PackData'!C:C,MATCH(G160,'06.PackData'!A:A,0)),"X"))))</f>
        <v>정밀 타격 레이저</v>
      </c>
      <c r="G160" s="3" t="s">
        <v>620</v>
      </c>
      <c r="H160" s="3">
        <v>1</v>
      </c>
    </row>
    <row r="161" spans="1:8" x14ac:dyDescent="0.3">
      <c r="A161" s="3">
        <f t="shared" si="3"/>
        <v>160</v>
      </c>
      <c r="B161" s="3">
        <v>4</v>
      </c>
      <c r="C161" s="3">
        <v>10302</v>
      </c>
      <c r="D161" s="3">
        <v>1</v>
      </c>
      <c r="E161" s="3">
        <v>3</v>
      </c>
      <c r="F161" s="29" t="str">
        <f>IF(E161=1,G161&amp;" 골드",IF(E161=2,INDEX('02.CardData'!E:E,MATCH(G161,'02.CardData'!B:B,0)),IF(E161=3,INDEX('03.RelicData'!E:E,MATCH(G161,'03.RelicData'!A:A,0)),IF(E161=4,INDEX('06.PackData'!C:C,MATCH(G161,'06.PackData'!A:A,0)),"X"))))</f>
        <v>광역 공격 망치</v>
      </c>
      <c r="G161" s="3" t="s">
        <v>621</v>
      </c>
      <c r="H161" s="3">
        <v>1</v>
      </c>
    </row>
    <row r="162" spans="1:8" x14ac:dyDescent="0.3">
      <c r="A162" s="3">
        <f t="shared" si="3"/>
        <v>161</v>
      </c>
      <c r="B162" s="3">
        <v>4</v>
      </c>
      <c r="C162" s="3">
        <v>10302</v>
      </c>
      <c r="D162" s="3">
        <v>1</v>
      </c>
      <c r="E162" s="3">
        <v>3</v>
      </c>
      <c r="F162" s="29" t="str">
        <f>IF(E162=1,G162&amp;" 골드",IF(E162=2,INDEX('02.CardData'!E:E,MATCH(G162,'02.CardData'!B:B,0)),IF(E162=3,INDEX('03.RelicData'!E:E,MATCH(G162,'03.RelicData'!A:A,0)),IF(E162=4,INDEX('06.PackData'!C:C,MATCH(G162,'06.PackData'!A:A,0)),"X"))))</f>
        <v>긴급 수리 테이프</v>
      </c>
      <c r="G162" s="3" t="s">
        <v>622</v>
      </c>
      <c r="H162" s="3">
        <v>1</v>
      </c>
    </row>
    <row r="163" spans="1:8" x14ac:dyDescent="0.3">
      <c r="A163" s="3">
        <f t="shared" si="3"/>
        <v>162</v>
      </c>
      <c r="B163" s="3">
        <v>4</v>
      </c>
      <c r="C163" s="3">
        <v>10302</v>
      </c>
      <c r="D163" s="3">
        <v>1</v>
      </c>
      <c r="E163" s="3">
        <v>3</v>
      </c>
      <c r="F163" s="29" t="str">
        <f>IF(E163=1,G163&amp;" 골드",IF(E163=2,INDEX('02.CardData'!E:E,MATCH(G163,'02.CardData'!B:B,0)),IF(E163=3,INDEX('03.RelicData'!E:E,MATCH(G163,'03.RelicData'!A:A,0)),IF(E163=4,INDEX('06.PackData'!C:C,MATCH(G163,'06.PackData'!A:A,0)),"X"))))</f>
        <v>고대의 나침반</v>
      </c>
      <c r="G163" s="3" t="s">
        <v>623</v>
      </c>
      <c r="H163" s="3">
        <v>1</v>
      </c>
    </row>
    <row r="164" spans="1:8" x14ac:dyDescent="0.3">
      <c r="A164" s="3">
        <f t="shared" ref="A164:A171" si="4">ROW()-1</f>
        <v>163</v>
      </c>
      <c r="B164" s="3">
        <v>4</v>
      </c>
      <c r="C164" s="3">
        <v>10302</v>
      </c>
      <c r="D164" s="3">
        <v>1</v>
      </c>
      <c r="E164" s="3">
        <v>3</v>
      </c>
      <c r="F164" s="29" t="str">
        <f>IF(E164=1,G164&amp;" 골드",IF(E164=2,INDEX('02.CardData'!E:E,MATCH(G164,'02.CardData'!B:B,0)),IF(E164=3,INDEX('03.RelicData'!E:E,MATCH(G164,'03.RelicData'!A:A,0)),IF(E164=4,INDEX('06.PackData'!C:C,MATCH(G164,'06.PackData'!A:A,0)),"X"))))</f>
        <v>유적 조사 노트</v>
      </c>
      <c r="G164" s="3" t="s">
        <v>625</v>
      </c>
      <c r="H164" s="3">
        <v>1</v>
      </c>
    </row>
    <row r="165" spans="1:8" x14ac:dyDescent="0.3">
      <c r="A165" s="3">
        <f t="shared" si="4"/>
        <v>164</v>
      </c>
      <c r="B165" s="3">
        <v>4</v>
      </c>
      <c r="C165" s="3">
        <v>10302</v>
      </c>
      <c r="D165" s="3">
        <v>1</v>
      </c>
      <c r="E165" s="3">
        <v>3</v>
      </c>
      <c r="F165" s="29" t="str">
        <f>IF(E165=1,G165&amp;" 골드",IF(E165=2,INDEX('02.CardData'!E:E,MATCH(G165,'02.CardData'!B:B,0)),IF(E165=3,INDEX('03.RelicData'!E:E,MATCH(G165,'03.RelicData'!A:A,0)),IF(E165=4,INDEX('06.PackData'!C:C,MATCH(G165,'06.PackData'!A:A,0)),"X"))))</f>
        <v>거래기록 장부</v>
      </c>
      <c r="G165" s="3" t="s">
        <v>626</v>
      </c>
      <c r="H165" s="3">
        <v>1</v>
      </c>
    </row>
    <row r="166" spans="1:8" x14ac:dyDescent="0.3">
      <c r="A166" s="3">
        <f t="shared" si="4"/>
        <v>165</v>
      </c>
      <c r="B166" s="3">
        <v>4</v>
      </c>
      <c r="C166" s="3">
        <v>10302</v>
      </c>
      <c r="D166" s="3">
        <v>1</v>
      </c>
      <c r="E166" s="3">
        <v>3</v>
      </c>
      <c r="F166" s="29" t="str">
        <f>IF(E166=1,G166&amp;" 골드",IF(E166=2,INDEX('02.CardData'!E:E,MATCH(G166,'02.CardData'!B:B,0)),IF(E166=3,INDEX('03.RelicData'!E:E,MATCH(G166,'03.RelicData'!A:A,0)),IF(E166=4,INDEX('06.PackData'!C:C,MATCH(G166,'06.PackData'!A:A,0)),"X"))))</f>
        <v>대못</v>
      </c>
      <c r="G166" s="3" t="s">
        <v>627</v>
      </c>
      <c r="H166" s="3">
        <v>1</v>
      </c>
    </row>
    <row r="167" spans="1:8" x14ac:dyDescent="0.3">
      <c r="A167" s="3">
        <f t="shared" si="4"/>
        <v>166</v>
      </c>
      <c r="B167" s="3">
        <v>4</v>
      </c>
      <c r="C167" s="3">
        <v>10302</v>
      </c>
      <c r="D167" s="3">
        <v>1</v>
      </c>
      <c r="E167" s="3">
        <v>3</v>
      </c>
      <c r="F167" s="29" t="str">
        <f>IF(E167=1,G167&amp;" 골드",IF(E167=2,INDEX('02.CardData'!E:E,MATCH(G167,'02.CardData'!B:B,0)),IF(E167=3,INDEX('03.RelicData'!E:E,MATCH(G167,'03.RelicData'!A:A,0)),IF(E167=4,INDEX('06.PackData'!C:C,MATCH(G167,'06.PackData'!A:A,0)),"X"))))</f>
        <v>균열 파편 강화*</v>
      </c>
      <c r="G167" s="3" t="s">
        <v>628</v>
      </c>
      <c r="H167" s="3">
        <v>1</v>
      </c>
    </row>
    <row r="168" spans="1:8" x14ac:dyDescent="0.3">
      <c r="A168" s="3">
        <f t="shared" si="4"/>
        <v>167</v>
      </c>
      <c r="B168" s="3">
        <v>4</v>
      </c>
      <c r="C168" s="3">
        <v>10302</v>
      </c>
      <c r="D168" s="3">
        <v>1</v>
      </c>
      <c r="E168" s="3">
        <v>3</v>
      </c>
      <c r="F168" s="29" t="str">
        <f>IF(E168=1,G168&amp;" 골드",IF(E168=2,INDEX('02.CardData'!E:E,MATCH(G168,'02.CardData'!B:B,0)),IF(E168=3,INDEX('03.RelicData'!E:E,MATCH(G168,'03.RelicData'!A:A,0)),IF(E168=4,INDEX('06.PackData'!C:C,MATCH(G168,'06.PackData'!A:A,0)),"X"))))</f>
        <v>완벽한 도구함</v>
      </c>
      <c r="G168" s="3" t="s">
        <v>629</v>
      </c>
      <c r="H168" s="3">
        <v>1</v>
      </c>
    </row>
    <row r="169" spans="1:8" x14ac:dyDescent="0.3">
      <c r="A169" s="3">
        <f t="shared" si="4"/>
        <v>168</v>
      </c>
      <c r="B169" s="3">
        <v>4</v>
      </c>
      <c r="C169" s="3">
        <v>10302</v>
      </c>
      <c r="D169" s="3">
        <v>1</v>
      </c>
      <c r="E169" s="3">
        <v>3</v>
      </c>
      <c r="F169" s="29" t="str">
        <f>IF(E169=1,G169&amp;" 골드",IF(E169=2,INDEX('02.CardData'!E:E,MATCH(G169,'02.CardData'!B:B,0)),IF(E169=3,INDEX('03.RelicData'!E:E,MATCH(G169,'03.RelicData'!A:A,0)),IF(E169=4,INDEX('06.PackData'!C:C,MATCH(G169,'06.PackData'!A:A,0)),"X"))))</f>
        <v>정밀 조준경</v>
      </c>
      <c r="G169" s="3" t="s">
        <v>632</v>
      </c>
      <c r="H169" s="3">
        <v>1</v>
      </c>
    </row>
    <row r="170" spans="1:8" x14ac:dyDescent="0.3">
      <c r="A170" s="3">
        <f t="shared" si="4"/>
        <v>169</v>
      </c>
      <c r="B170" s="3">
        <v>4</v>
      </c>
      <c r="C170" s="3">
        <v>10302</v>
      </c>
      <c r="D170" s="3">
        <v>1</v>
      </c>
      <c r="E170" s="3">
        <v>3</v>
      </c>
      <c r="F170" s="29" t="str">
        <f>IF(E170=1,G170&amp;" 골드",IF(E170=2,INDEX('02.CardData'!E:E,MATCH(G170,'02.CardData'!B:B,0)),IF(E170=3,INDEX('03.RelicData'!E:E,MATCH(G170,'03.RelicData'!A:A,0)),IF(E170=4,INDEX('06.PackData'!C:C,MATCH(G170,'06.PackData'!A:A,0)),"X"))))</f>
        <v>수평계</v>
      </c>
      <c r="G170" s="3" t="s">
        <v>633</v>
      </c>
      <c r="H170" s="3">
        <v>1</v>
      </c>
    </row>
    <row r="171" spans="1:8" x14ac:dyDescent="0.3">
      <c r="A171" s="3">
        <f t="shared" si="4"/>
        <v>170</v>
      </c>
      <c r="B171" s="3">
        <v>4</v>
      </c>
      <c r="C171" s="3">
        <v>10302</v>
      </c>
      <c r="D171" s="3">
        <v>1</v>
      </c>
      <c r="E171" s="3">
        <v>3</v>
      </c>
      <c r="F171" s="29" t="str">
        <f>IF(E171=1,G171&amp;" 골드",IF(E171=2,INDEX('02.CardData'!E:E,MATCH(G171,'02.CardData'!B:B,0)),IF(E171=3,INDEX('03.RelicData'!E:E,MATCH(G171,'03.RelicData'!A:A,0)),IF(E171=4,INDEX('06.PackData'!C:C,MATCH(G171,'06.PackData'!A:A,0)),"X"))))</f>
        <v>세로추</v>
      </c>
      <c r="G171" s="3" t="s">
        <v>1187</v>
      </c>
      <c r="H171" s="3">
        <v>1</v>
      </c>
    </row>
  </sheetData>
  <mergeCells count="3">
    <mergeCell ref="L2:N2"/>
    <mergeCell ref="P5:R5"/>
    <mergeCell ref="P12:T12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54"/>
  <sheetViews>
    <sheetView workbookViewId="0"/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1177</v>
      </c>
      <c r="B1" s="28" t="s">
        <v>1181</v>
      </c>
      <c r="C1" s="28" t="s">
        <v>1179</v>
      </c>
      <c r="D1" s="28" t="s">
        <v>1128</v>
      </c>
      <c r="E1" s="28" t="s">
        <v>1129</v>
      </c>
    </row>
    <row r="2" spans="1:14" x14ac:dyDescent="0.3">
      <c r="A2" s="28">
        <v>1</v>
      </c>
      <c r="B2" s="28">
        <v>1</v>
      </c>
      <c r="C2" s="28" t="s">
        <v>1132</v>
      </c>
      <c r="D2" s="28">
        <v>6</v>
      </c>
      <c r="E2" s="28">
        <v>8</v>
      </c>
      <c r="H2" s="35" t="s">
        <v>1188</v>
      </c>
      <c r="I2" s="36"/>
      <c r="J2" s="37"/>
    </row>
    <row r="3" spans="1:14" x14ac:dyDescent="0.3">
      <c r="A3" s="28">
        <v>2</v>
      </c>
      <c r="B3" s="28">
        <v>1</v>
      </c>
      <c r="C3" s="28" t="s">
        <v>1133</v>
      </c>
      <c r="D3" s="28">
        <v>6</v>
      </c>
      <c r="E3" s="28">
        <v>8</v>
      </c>
      <c r="H3" s="2" t="s">
        <v>85</v>
      </c>
      <c r="I3" s="2" t="s">
        <v>86</v>
      </c>
      <c r="J3" s="2" t="s">
        <v>87</v>
      </c>
    </row>
    <row r="4" spans="1:14" x14ac:dyDescent="0.3">
      <c r="A4" s="28">
        <v>3</v>
      </c>
      <c r="B4" s="28">
        <v>1</v>
      </c>
      <c r="C4" s="28" t="s">
        <v>166</v>
      </c>
      <c r="D4" s="28">
        <v>11</v>
      </c>
      <c r="E4" s="28">
        <v>13</v>
      </c>
      <c r="H4" s="2" t="s">
        <v>1176</v>
      </c>
      <c r="I4" s="6" t="s">
        <v>88</v>
      </c>
      <c r="J4" s="6" t="s">
        <v>88</v>
      </c>
    </row>
    <row r="5" spans="1:14" x14ac:dyDescent="0.3">
      <c r="A5" s="28">
        <v>4</v>
      </c>
      <c r="B5" s="28">
        <v>1</v>
      </c>
      <c r="C5" s="28" t="s">
        <v>167</v>
      </c>
      <c r="D5" s="28">
        <v>11</v>
      </c>
      <c r="E5" s="28">
        <v>13</v>
      </c>
      <c r="H5" s="2" t="s">
        <v>1180</v>
      </c>
      <c r="I5" s="6" t="s">
        <v>1191</v>
      </c>
      <c r="J5" s="6" t="s">
        <v>100</v>
      </c>
      <c r="L5" s="42" t="s">
        <v>1193</v>
      </c>
      <c r="M5" s="42"/>
      <c r="N5" s="42"/>
    </row>
    <row r="6" spans="1:14" x14ac:dyDescent="0.3">
      <c r="A6" s="28">
        <v>5</v>
      </c>
      <c r="B6" s="28">
        <v>1</v>
      </c>
      <c r="C6" s="28" t="s">
        <v>168</v>
      </c>
      <c r="D6" s="28">
        <v>6</v>
      </c>
      <c r="E6" s="28">
        <v>8</v>
      </c>
      <c r="H6" s="2" t="s">
        <v>1178</v>
      </c>
      <c r="I6" s="6" t="s">
        <v>1192</v>
      </c>
      <c r="J6" s="6" t="s">
        <v>88</v>
      </c>
      <c r="L6" s="3" t="s">
        <v>1155</v>
      </c>
      <c r="M6" s="3" t="s">
        <v>86</v>
      </c>
      <c r="N6" s="3" t="s">
        <v>1179</v>
      </c>
    </row>
    <row r="7" spans="1:14" x14ac:dyDescent="0.3">
      <c r="A7" s="28">
        <v>6</v>
      </c>
      <c r="B7" s="28">
        <v>1</v>
      </c>
      <c r="C7" s="28" t="s">
        <v>169</v>
      </c>
      <c r="D7" s="28">
        <v>11</v>
      </c>
      <c r="E7" s="28">
        <v>13</v>
      </c>
      <c r="H7" s="2" t="s">
        <v>1128</v>
      </c>
      <c r="I7" s="6" t="s">
        <v>1189</v>
      </c>
      <c r="J7" s="6" t="s">
        <v>122</v>
      </c>
      <c r="L7" s="3">
        <v>1</v>
      </c>
      <c r="M7" s="3" t="s">
        <v>90</v>
      </c>
      <c r="N7" s="3" t="s">
        <v>1195</v>
      </c>
    </row>
    <row r="8" spans="1:14" x14ac:dyDescent="0.3">
      <c r="A8" s="28">
        <v>7</v>
      </c>
      <c r="B8" s="28">
        <v>1</v>
      </c>
      <c r="C8" s="28" t="s">
        <v>170</v>
      </c>
      <c r="D8" s="28">
        <v>6</v>
      </c>
      <c r="E8" s="28">
        <v>8</v>
      </c>
      <c r="H8" s="2" t="s">
        <v>1129</v>
      </c>
      <c r="I8" s="6" t="s">
        <v>1190</v>
      </c>
      <c r="J8" s="6" t="s">
        <v>122</v>
      </c>
      <c r="L8" s="3">
        <v>2</v>
      </c>
      <c r="M8" s="3" t="s">
        <v>1194</v>
      </c>
      <c r="N8" s="3" t="s">
        <v>1196</v>
      </c>
    </row>
    <row r="9" spans="1:14" x14ac:dyDescent="0.3">
      <c r="A9" s="28">
        <v>8</v>
      </c>
      <c r="B9" s="28">
        <v>1</v>
      </c>
      <c r="C9" s="28" t="s">
        <v>171</v>
      </c>
      <c r="D9" s="28">
        <v>11</v>
      </c>
      <c r="E9" s="28">
        <v>13</v>
      </c>
      <c r="L9" s="3">
        <v>3</v>
      </c>
      <c r="M9" s="3" t="s">
        <v>1208</v>
      </c>
      <c r="N9" s="3" t="s">
        <v>1209</v>
      </c>
    </row>
    <row r="10" spans="1:14" x14ac:dyDescent="0.3">
      <c r="A10" s="28">
        <v>9</v>
      </c>
      <c r="B10" s="28">
        <v>1</v>
      </c>
      <c r="C10" s="28" t="s">
        <v>1134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1182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174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175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176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177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178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179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180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181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182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183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1135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1183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696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699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1136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1184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1137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1185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1186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613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614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615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616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617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618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619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620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621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622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623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624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625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626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627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628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629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630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631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632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633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1187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1201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1210</v>
      </c>
      <c r="D54" s="28">
        <v>15</v>
      </c>
      <c r="E54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/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1175</v>
      </c>
      <c r="B1" s="3" t="s">
        <v>1198</v>
      </c>
      <c r="C1" s="3" t="s">
        <v>1231</v>
      </c>
      <c r="D1" s="3" t="s">
        <v>1199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5" t="s">
        <v>1244</v>
      </c>
      <c r="H2" s="36"/>
      <c r="I2" s="37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85</v>
      </c>
      <c r="H3" s="2" t="s">
        <v>86</v>
      </c>
      <c r="I3" s="2" t="s">
        <v>87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1139</v>
      </c>
      <c r="H4" s="6" t="s">
        <v>88</v>
      </c>
      <c r="I4" s="6" t="s">
        <v>88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1197</v>
      </c>
      <c r="H5" s="6" t="s">
        <v>1230</v>
      </c>
      <c r="I5" s="6" t="s">
        <v>88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1231</v>
      </c>
      <c r="H6" s="6" t="s">
        <v>1228</v>
      </c>
      <c r="I6" s="6" t="s">
        <v>100</v>
      </c>
      <c r="K6" s="42" t="s">
        <v>1243</v>
      </c>
      <c r="L6" s="42"/>
      <c r="M6" s="42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1143</v>
      </c>
      <c r="H7" s="6" t="s">
        <v>1229</v>
      </c>
      <c r="I7" s="6" t="s">
        <v>88</v>
      </c>
      <c r="K7" s="3" t="s">
        <v>1155</v>
      </c>
      <c r="L7" s="3" t="s">
        <v>1233</v>
      </c>
      <c r="M7" s="3" t="s">
        <v>1232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1234</v>
      </c>
      <c r="M8" s="3" t="s">
        <v>1241</v>
      </c>
    </row>
    <row r="9" spans="1:13" x14ac:dyDescent="0.3">
      <c r="K9" s="3">
        <v>2</v>
      </c>
      <c r="L9" s="3" t="s">
        <v>1235</v>
      </c>
      <c r="M9" s="3" t="s">
        <v>1241</v>
      </c>
    </row>
    <row r="10" spans="1:13" x14ac:dyDescent="0.3">
      <c r="K10" s="3">
        <v>3</v>
      </c>
      <c r="L10" s="3" t="s">
        <v>1236</v>
      </c>
      <c r="M10" s="3" t="s">
        <v>1241</v>
      </c>
    </row>
    <row r="11" spans="1:13" x14ac:dyDescent="0.3">
      <c r="K11" s="3">
        <v>4</v>
      </c>
      <c r="L11" s="3" t="s">
        <v>1237</v>
      </c>
      <c r="M11" s="3" t="s">
        <v>1164</v>
      </c>
    </row>
    <row r="12" spans="1:13" x14ac:dyDescent="0.3">
      <c r="K12" s="3">
        <v>5</v>
      </c>
      <c r="L12" s="3" t="s">
        <v>1238</v>
      </c>
      <c r="M12" s="3" t="s">
        <v>1164</v>
      </c>
    </row>
    <row r="13" spans="1:13" x14ac:dyDescent="0.3">
      <c r="K13" s="3">
        <v>6</v>
      </c>
      <c r="L13" s="3" t="s">
        <v>1239</v>
      </c>
      <c r="M13" s="3" t="s">
        <v>1242</v>
      </c>
    </row>
    <row r="14" spans="1:13" x14ac:dyDescent="0.3">
      <c r="K14" s="3">
        <v>7</v>
      </c>
      <c r="L14" s="3" t="s">
        <v>1240</v>
      </c>
      <c r="M14" s="3" t="s">
        <v>1242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workbookViewId="0">
      <selection activeCell="K54" sqref="K54"/>
    </sheetView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1177</v>
      </c>
      <c r="B1" s="3" t="s">
        <v>1219</v>
      </c>
      <c r="C1" s="3" t="s">
        <v>1221</v>
      </c>
      <c r="D1" s="3" t="s">
        <v>1223</v>
      </c>
      <c r="E1" s="3" t="s">
        <v>1225</v>
      </c>
    </row>
    <row r="2" spans="1:10" x14ac:dyDescent="0.3">
      <c r="A2" s="3">
        <v>1</v>
      </c>
      <c r="B2" s="3">
        <v>1</v>
      </c>
      <c r="C2" s="3" t="s">
        <v>1226</v>
      </c>
      <c r="D2" s="3">
        <v>5</v>
      </c>
      <c r="E2" s="3">
        <v>1101</v>
      </c>
      <c r="H2" s="35" t="s">
        <v>1249</v>
      </c>
      <c r="I2" s="36"/>
      <c r="J2" s="37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85</v>
      </c>
      <c r="I3" s="2" t="s">
        <v>86</v>
      </c>
      <c r="J3" s="2" t="s">
        <v>87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1176</v>
      </c>
      <c r="I4" s="6" t="s">
        <v>88</v>
      </c>
      <c r="J4" s="6" t="s">
        <v>88</v>
      </c>
    </row>
    <row r="5" spans="1:10" x14ac:dyDescent="0.3">
      <c r="H5" s="2" t="s">
        <v>1219</v>
      </c>
      <c r="I5" s="6" t="s">
        <v>1245</v>
      </c>
      <c r="J5" s="6" t="s">
        <v>88</v>
      </c>
    </row>
    <row r="6" spans="1:10" x14ac:dyDescent="0.3">
      <c r="H6" s="2" t="s">
        <v>1220</v>
      </c>
      <c r="I6" s="6" t="s">
        <v>1246</v>
      </c>
      <c r="J6" s="6" t="s">
        <v>100</v>
      </c>
    </row>
    <row r="7" spans="1:10" x14ac:dyDescent="0.3">
      <c r="H7" s="2" t="s">
        <v>1222</v>
      </c>
      <c r="I7" s="6" t="s">
        <v>1247</v>
      </c>
      <c r="J7" s="6" t="s">
        <v>122</v>
      </c>
    </row>
    <row r="8" spans="1:10" x14ac:dyDescent="0.3">
      <c r="H8" s="2" t="s">
        <v>1224</v>
      </c>
      <c r="I8" s="6" t="s">
        <v>1248</v>
      </c>
      <c r="J8" s="6" t="s">
        <v>88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A641-DF62-410C-99DA-39ADF8546CA4}">
  <sheetPr codeName="Sheet13"/>
  <dimension ref="A1:S14"/>
  <sheetViews>
    <sheetView workbookViewId="0">
      <selection activeCell="M57" sqref="M57"/>
    </sheetView>
  </sheetViews>
  <sheetFormatPr defaultRowHeight="12" x14ac:dyDescent="0.3"/>
  <cols>
    <col min="1" max="1" width="3.125" style="3" bestFit="1" customWidth="1"/>
    <col min="2" max="2" width="10.375" style="3" bestFit="1" customWidth="1"/>
    <col min="3" max="3" width="5.25" style="3" bestFit="1" customWidth="1"/>
    <col min="4" max="4" width="8.875" style="3" bestFit="1" customWidth="1"/>
    <col min="5" max="5" width="12.125" style="3" bestFit="1" customWidth="1"/>
    <col min="6" max="6" width="20.375" style="3" bestFit="1" customWidth="1"/>
    <col min="7" max="7" width="20.375" style="3" customWidth="1"/>
    <col min="8" max="8" width="12.125" style="3" bestFit="1" customWidth="1"/>
    <col min="9" max="9" width="18.375" style="3" bestFit="1" customWidth="1"/>
    <col min="10" max="10" width="10.625" style="3" bestFit="1" customWidth="1"/>
    <col min="11" max="11" width="14.625" style="3" bestFit="1" customWidth="1"/>
    <col min="12" max="12" width="2.5" style="17" customWidth="1"/>
    <col min="13" max="13" width="9" style="1"/>
    <col min="14" max="14" width="16.75" style="1" bestFit="1" customWidth="1"/>
    <col min="15" max="15" width="30" style="1" bestFit="1" customWidth="1"/>
    <col min="16" max="16" width="9" style="1"/>
    <col min="17" max="17" width="1.625" style="1" customWidth="1"/>
    <col min="18" max="18" width="5.125" style="1" bestFit="1" customWidth="1"/>
    <col min="19" max="19" width="15" style="1" bestFit="1" customWidth="1"/>
    <col min="20" max="16384" width="9" style="1"/>
  </cols>
  <sheetData>
    <row r="1" spans="1:19" x14ac:dyDescent="0.3">
      <c r="A1" s="3" t="s">
        <v>1176</v>
      </c>
      <c r="B1" s="3" t="s">
        <v>1288</v>
      </c>
      <c r="C1" s="3" t="s">
        <v>1289</v>
      </c>
      <c r="D1" s="3" t="s">
        <v>1301</v>
      </c>
      <c r="E1" s="3" t="s">
        <v>1290</v>
      </c>
      <c r="F1" s="3" t="s">
        <v>1291</v>
      </c>
      <c r="G1" s="3" t="s">
        <v>1299</v>
      </c>
      <c r="H1" s="3" t="s">
        <v>1292</v>
      </c>
      <c r="I1" s="3" t="s">
        <v>1293</v>
      </c>
      <c r="J1" s="3" t="s">
        <v>1294</v>
      </c>
      <c r="K1" s="3" t="s">
        <v>1295</v>
      </c>
    </row>
    <row r="2" spans="1:19" x14ac:dyDescent="0.3">
      <c r="A2" s="3">
        <v>1</v>
      </c>
      <c r="B2" s="3">
        <v>1</v>
      </c>
      <c r="C2" s="3">
        <v>5</v>
      </c>
      <c r="D2" s="3">
        <v>3</v>
      </c>
      <c r="E2" s="3">
        <v>10000</v>
      </c>
      <c r="F2" s="3">
        <v>1000</v>
      </c>
      <c r="G2" s="3">
        <v>1000</v>
      </c>
      <c r="H2" s="3">
        <v>0</v>
      </c>
      <c r="I2" s="3">
        <v>0</v>
      </c>
      <c r="J2" s="3">
        <v>0</v>
      </c>
      <c r="K2" s="3">
        <v>101</v>
      </c>
      <c r="N2" s="35" t="s">
        <v>1320</v>
      </c>
      <c r="O2" s="36"/>
      <c r="P2" s="37"/>
    </row>
    <row r="3" spans="1:19" x14ac:dyDescent="0.3">
      <c r="A3" s="3">
        <v>2</v>
      </c>
      <c r="B3" s="3">
        <v>2</v>
      </c>
      <c r="C3" s="3">
        <v>15</v>
      </c>
      <c r="D3" s="3">
        <v>3</v>
      </c>
      <c r="E3" s="3">
        <v>10000</v>
      </c>
      <c r="F3" s="3">
        <v>1000</v>
      </c>
      <c r="G3" s="3">
        <v>1000</v>
      </c>
      <c r="H3" s="3">
        <v>0</v>
      </c>
      <c r="I3" s="3">
        <v>0</v>
      </c>
      <c r="J3" s="3">
        <v>0</v>
      </c>
      <c r="K3" s="3">
        <v>102</v>
      </c>
      <c r="N3" s="2" t="s">
        <v>85</v>
      </c>
      <c r="O3" s="2" t="s">
        <v>86</v>
      </c>
      <c r="P3" s="2" t="s">
        <v>87</v>
      </c>
    </row>
    <row r="4" spans="1:19" x14ac:dyDescent="0.3">
      <c r="A4" s="3">
        <v>3</v>
      </c>
      <c r="B4" s="3">
        <v>3</v>
      </c>
      <c r="C4" s="3">
        <v>30</v>
      </c>
      <c r="D4" s="3">
        <v>3</v>
      </c>
      <c r="E4" s="3">
        <v>10000</v>
      </c>
      <c r="F4" s="3">
        <v>1000</v>
      </c>
      <c r="G4" s="3">
        <v>1000</v>
      </c>
      <c r="H4" s="3">
        <v>0</v>
      </c>
      <c r="I4" s="3">
        <v>0</v>
      </c>
      <c r="J4" s="3">
        <v>0</v>
      </c>
      <c r="K4" s="3">
        <v>103</v>
      </c>
      <c r="N4" s="2" t="s">
        <v>1176</v>
      </c>
      <c r="O4" s="6" t="s">
        <v>88</v>
      </c>
      <c r="P4" s="6" t="s">
        <v>88</v>
      </c>
    </row>
    <row r="5" spans="1:19" x14ac:dyDescent="0.3">
      <c r="N5" s="2" t="s">
        <v>1288</v>
      </c>
      <c r="O5" s="6" t="s">
        <v>1296</v>
      </c>
      <c r="P5" s="6" t="s">
        <v>100</v>
      </c>
      <c r="R5" s="35" t="s">
        <v>1296</v>
      </c>
      <c r="S5" s="37"/>
    </row>
    <row r="6" spans="1:19" x14ac:dyDescent="0.3">
      <c r="N6" s="2" t="s">
        <v>1289</v>
      </c>
      <c r="O6" s="6" t="s">
        <v>1297</v>
      </c>
      <c r="P6" s="6" t="s">
        <v>122</v>
      </c>
      <c r="R6" s="3" t="s">
        <v>1155</v>
      </c>
      <c r="S6" s="3" t="s">
        <v>1310</v>
      </c>
    </row>
    <row r="7" spans="1:19" x14ac:dyDescent="0.3">
      <c r="N7" s="2" t="s">
        <v>1300</v>
      </c>
      <c r="O7" s="6" t="s">
        <v>1302</v>
      </c>
      <c r="P7" s="6" t="s">
        <v>122</v>
      </c>
      <c r="R7" s="3">
        <v>1</v>
      </c>
      <c r="S7" s="3" t="s">
        <v>1311</v>
      </c>
    </row>
    <row r="8" spans="1:19" x14ac:dyDescent="0.3">
      <c r="N8" s="2" t="s">
        <v>1290</v>
      </c>
      <c r="O8" s="6" t="s">
        <v>1298</v>
      </c>
      <c r="P8" s="6" t="s">
        <v>1309</v>
      </c>
      <c r="R8" s="3">
        <v>2</v>
      </c>
      <c r="S8" s="3" t="s">
        <v>1312</v>
      </c>
    </row>
    <row r="9" spans="1:19" x14ac:dyDescent="0.3">
      <c r="N9" s="2" t="s">
        <v>1291</v>
      </c>
      <c r="O9" s="6" t="s">
        <v>1305</v>
      </c>
      <c r="P9" s="6" t="s">
        <v>1309</v>
      </c>
      <c r="R9" s="3">
        <v>3</v>
      </c>
      <c r="S9" s="3" t="s">
        <v>1313</v>
      </c>
    </row>
    <row r="10" spans="1:19" x14ac:dyDescent="0.3">
      <c r="N10" s="2" t="s">
        <v>1299</v>
      </c>
      <c r="O10" s="6" t="s">
        <v>1306</v>
      </c>
      <c r="P10" s="6" t="s">
        <v>1309</v>
      </c>
    </row>
    <row r="11" spans="1:19" x14ac:dyDescent="0.3">
      <c r="N11" s="2" t="s">
        <v>1292</v>
      </c>
      <c r="O11" s="6" t="s">
        <v>1303</v>
      </c>
      <c r="P11" s="6" t="s">
        <v>1309</v>
      </c>
    </row>
    <row r="12" spans="1:19" x14ac:dyDescent="0.3">
      <c r="N12" s="2" t="s">
        <v>1293</v>
      </c>
      <c r="O12" s="6" t="s">
        <v>1304</v>
      </c>
      <c r="P12" s="6" t="s">
        <v>1309</v>
      </c>
    </row>
    <row r="13" spans="1:19" x14ac:dyDescent="0.3">
      <c r="N13" s="2" t="s">
        <v>1294</v>
      </c>
      <c r="O13" s="6" t="s">
        <v>1307</v>
      </c>
      <c r="P13" s="6" t="s">
        <v>88</v>
      </c>
    </row>
    <row r="14" spans="1:19" x14ac:dyDescent="0.3">
      <c r="N14" s="2" t="s">
        <v>1295</v>
      </c>
      <c r="O14" s="6" t="s">
        <v>1308</v>
      </c>
      <c r="P14" s="6" t="s">
        <v>88</v>
      </c>
    </row>
  </sheetData>
  <mergeCells count="2">
    <mergeCell ref="N2:P2"/>
    <mergeCell ref="R5:S5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17AFF-3730-49C9-B420-1711CB74AE8A}">
  <sheetPr codeName="Sheet14"/>
  <dimension ref="A1:I7"/>
  <sheetViews>
    <sheetView workbookViewId="0"/>
  </sheetViews>
  <sheetFormatPr defaultRowHeight="12" x14ac:dyDescent="0.3"/>
  <cols>
    <col min="1" max="1" width="2.75" style="28" bestFit="1" customWidth="1"/>
    <col min="2" max="2" width="9.75" style="28" bestFit="1" customWidth="1"/>
    <col min="3" max="3" width="5.875" style="28" bestFit="1" customWidth="1"/>
    <col min="4" max="4" width="4.375" style="28" bestFit="1" customWidth="1"/>
    <col min="5" max="5" width="2.25" style="30" customWidth="1"/>
    <col min="6" max="6" width="9" style="1"/>
    <col min="7" max="7" width="16.75" style="1" bestFit="1" customWidth="1"/>
    <col min="8" max="8" width="32.875" style="1" bestFit="1" customWidth="1"/>
    <col min="9" max="9" width="6" style="1" bestFit="1" customWidth="1"/>
    <col min="10" max="16384" width="9" style="1"/>
  </cols>
  <sheetData>
    <row r="1" spans="1:9" x14ac:dyDescent="0.3">
      <c r="A1" s="28" t="s">
        <v>1175</v>
      </c>
      <c r="B1" s="28" t="s">
        <v>69</v>
      </c>
      <c r="C1" s="28" t="s">
        <v>1315</v>
      </c>
      <c r="D1" s="28" t="s">
        <v>1027</v>
      </c>
    </row>
    <row r="2" spans="1:9" x14ac:dyDescent="0.3">
      <c r="A2" s="28">
        <v>1</v>
      </c>
      <c r="B2" s="28" t="s">
        <v>139</v>
      </c>
      <c r="C2" s="28">
        <v>1</v>
      </c>
      <c r="D2" s="28">
        <v>1</v>
      </c>
      <c r="G2" s="35" t="s">
        <v>1321</v>
      </c>
      <c r="H2" s="36"/>
      <c r="I2" s="37"/>
    </row>
    <row r="3" spans="1:9" x14ac:dyDescent="0.3">
      <c r="G3" s="2" t="s">
        <v>85</v>
      </c>
      <c r="H3" s="2" t="s">
        <v>86</v>
      </c>
      <c r="I3" s="2" t="s">
        <v>87</v>
      </c>
    </row>
    <row r="4" spans="1:9" x14ac:dyDescent="0.3">
      <c r="G4" s="2" t="s">
        <v>1139</v>
      </c>
      <c r="H4" s="6" t="s">
        <v>88</v>
      </c>
      <c r="I4" s="6" t="s">
        <v>88</v>
      </c>
    </row>
    <row r="5" spans="1:9" x14ac:dyDescent="0.3">
      <c r="G5" s="2" t="s">
        <v>1166</v>
      </c>
      <c r="H5" s="6" t="s">
        <v>1317</v>
      </c>
      <c r="I5" s="6" t="s">
        <v>88</v>
      </c>
    </row>
    <row r="6" spans="1:9" x14ac:dyDescent="0.3">
      <c r="G6" s="2" t="s">
        <v>1314</v>
      </c>
      <c r="H6" s="6" t="s">
        <v>1318</v>
      </c>
      <c r="I6" s="6" t="s">
        <v>88</v>
      </c>
    </row>
    <row r="7" spans="1:9" x14ac:dyDescent="0.3">
      <c r="G7" s="2" t="s">
        <v>1316</v>
      </c>
      <c r="H7" s="6" t="s">
        <v>1319</v>
      </c>
      <c r="I7" s="6" t="s">
        <v>1309</v>
      </c>
    </row>
  </sheetData>
  <mergeCells count="1">
    <mergeCell ref="G2:I2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330C-0752-464A-8097-96938E4C9E5F}">
  <sheetPr codeName="Sheet15"/>
  <dimension ref="A1:K12"/>
  <sheetViews>
    <sheetView workbookViewId="0"/>
  </sheetViews>
  <sheetFormatPr defaultRowHeight="12" x14ac:dyDescent="0.3"/>
  <cols>
    <col min="1" max="3" width="9" style="31"/>
    <col min="4" max="4" width="3.25" style="30" customWidth="1"/>
    <col min="5" max="5" width="9" style="1"/>
    <col min="6" max="6" width="16.75" style="1" bestFit="1" customWidth="1"/>
    <col min="7" max="7" width="32.875" style="1" bestFit="1" customWidth="1"/>
    <col min="8" max="8" width="6" style="1" bestFit="1" customWidth="1"/>
    <col min="9" max="9" width="2.125" style="1" customWidth="1"/>
    <col min="10" max="10" width="5.125" style="1" bestFit="1" customWidth="1"/>
    <col min="11" max="11" width="20.375" style="1" bestFit="1" customWidth="1"/>
    <col min="12" max="16384" width="9" style="1"/>
  </cols>
  <sheetData>
    <row r="1" spans="1:11" x14ac:dyDescent="0.3">
      <c r="A1" s="31" t="s">
        <v>1177</v>
      </c>
      <c r="B1" s="31" t="s">
        <v>1315</v>
      </c>
      <c r="C1" s="31" t="s">
        <v>1342</v>
      </c>
    </row>
    <row r="2" spans="1:11" x14ac:dyDescent="0.3">
      <c r="A2" s="31">
        <v>1</v>
      </c>
      <c r="B2" s="31">
        <v>101</v>
      </c>
      <c r="C2" s="31">
        <v>0</v>
      </c>
      <c r="F2" s="35" t="s">
        <v>1334</v>
      </c>
      <c r="G2" s="36"/>
      <c r="H2" s="37"/>
    </row>
    <row r="3" spans="1:11" x14ac:dyDescent="0.3">
      <c r="A3" s="31">
        <v>2</v>
      </c>
      <c r="B3" s="31">
        <v>102</v>
      </c>
      <c r="C3" s="31">
        <v>0</v>
      </c>
      <c r="F3" s="2" t="s">
        <v>85</v>
      </c>
      <c r="G3" s="2" t="s">
        <v>86</v>
      </c>
      <c r="H3" s="2" t="s">
        <v>87</v>
      </c>
    </row>
    <row r="4" spans="1:11" x14ac:dyDescent="0.3">
      <c r="A4" s="31">
        <v>3</v>
      </c>
      <c r="B4" s="31">
        <v>103</v>
      </c>
      <c r="C4" s="31">
        <v>0</v>
      </c>
      <c r="F4" s="2" t="s">
        <v>1176</v>
      </c>
      <c r="G4" s="6" t="s">
        <v>88</v>
      </c>
      <c r="H4" s="6" t="s">
        <v>88</v>
      </c>
    </row>
    <row r="5" spans="1:11" x14ac:dyDescent="0.3">
      <c r="F5" s="2" t="s">
        <v>1314</v>
      </c>
      <c r="G5" s="6" t="s">
        <v>1325</v>
      </c>
      <c r="H5" s="6" t="s">
        <v>88</v>
      </c>
    </row>
    <row r="6" spans="1:11" x14ac:dyDescent="0.3">
      <c r="F6" s="2" t="s">
        <v>1341</v>
      </c>
      <c r="G6" s="6" t="s">
        <v>1326</v>
      </c>
      <c r="H6" s="6" t="s">
        <v>100</v>
      </c>
      <c r="J6" s="35" t="s">
        <v>1341</v>
      </c>
      <c r="K6" s="37"/>
    </row>
    <row r="7" spans="1:11" x14ac:dyDescent="0.3">
      <c r="J7" s="3" t="s">
        <v>1155</v>
      </c>
      <c r="K7" s="3" t="s">
        <v>1310</v>
      </c>
    </row>
    <row r="8" spans="1:11" x14ac:dyDescent="0.3">
      <c r="J8" s="3">
        <v>0</v>
      </c>
      <c r="K8" s="3" t="s">
        <v>1343</v>
      </c>
    </row>
    <row r="9" spans="1:11" x14ac:dyDescent="0.3">
      <c r="J9" s="3">
        <v>1</v>
      </c>
      <c r="K9" s="3" t="s">
        <v>1344</v>
      </c>
    </row>
    <row r="10" spans="1:11" x14ac:dyDescent="0.3">
      <c r="J10" s="3">
        <v>2</v>
      </c>
      <c r="K10" s="3" t="s">
        <v>1345</v>
      </c>
    </row>
    <row r="11" spans="1:11" x14ac:dyDescent="0.3">
      <c r="J11" s="3">
        <v>3</v>
      </c>
      <c r="K11" s="3" t="s">
        <v>1346</v>
      </c>
    </row>
    <row r="12" spans="1:11" x14ac:dyDescent="0.3">
      <c r="J12" s="3">
        <v>4</v>
      </c>
      <c r="K12" s="3" t="s">
        <v>1347</v>
      </c>
    </row>
  </sheetData>
  <mergeCells count="2">
    <mergeCell ref="F2:H2"/>
    <mergeCell ref="J6:K6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3DFB-2CA2-448E-A431-EF7E1959E07F}">
  <sheetPr codeName="Sheet16"/>
  <dimension ref="A1:Q12"/>
  <sheetViews>
    <sheetView workbookViewId="0">
      <selection activeCell="P38" sqref="P38"/>
    </sheetView>
  </sheetViews>
  <sheetFormatPr defaultRowHeight="12" x14ac:dyDescent="0.3"/>
  <cols>
    <col min="1" max="1" width="2.75" style="3" bestFit="1" customWidth="1"/>
    <col min="2" max="2" width="5.875" style="3" bestFit="1" customWidth="1"/>
    <col min="3" max="3" width="10.125" style="3" bestFit="1" customWidth="1"/>
    <col min="4" max="4" width="25.25" style="26" bestFit="1" customWidth="1"/>
    <col min="5" max="5" width="10.875" style="3" bestFit="1" customWidth="1"/>
    <col min="6" max="6" width="11.25" style="3" bestFit="1" customWidth="1"/>
    <col min="7" max="7" width="3.125" style="30" customWidth="1"/>
    <col min="8" max="8" width="3.375" style="1" customWidth="1"/>
    <col min="9" max="9" width="16.75" style="1" bestFit="1" customWidth="1"/>
    <col min="10" max="10" width="32.875" style="1" bestFit="1" customWidth="1"/>
    <col min="11" max="11" width="6" style="1" bestFit="1" customWidth="1"/>
    <col min="12" max="12" width="2.75" style="1" customWidth="1"/>
    <col min="13" max="13" width="11.375" style="1" bestFit="1" customWidth="1"/>
    <col min="14" max="14" width="9.5" style="1" customWidth="1"/>
    <col min="15" max="15" width="20.5" style="1" bestFit="1" customWidth="1"/>
    <col min="16" max="16" width="20.5" style="1" customWidth="1"/>
    <col min="17" max="17" width="35" style="1" bestFit="1" customWidth="1"/>
    <col min="18" max="18" width="10.5" style="1" bestFit="1" customWidth="1"/>
    <col min="19" max="19" width="14.25" style="1" bestFit="1" customWidth="1"/>
    <col min="20" max="16384" width="9" style="1"/>
  </cols>
  <sheetData>
    <row r="1" spans="1:17" x14ac:dyDescent="0.3">
      <c r="A1" s="3" t="s">
        <v>1177</v>
      </c>
      <c r="B1" s="3" t="s">
        <v>1315</v>
      </c>
      <c r="C1" s="3" t="s">
        <v>1028</v>
      </c>
      <c r="D1" s="26" t="s">
        <v>1029</v>
      </c>
      <c r="E1" s="3" t="s">
        <v>1250</v>
      </c>
      <c r="F1" s="3" t="s">
        <v>1030</v>
      </c>
    </row>
    <row r="2" spans="1:17" x14ac:dyDescent="0.3">
      <c r="A2" s="3">
        <v>1</v>
      </c>
      <c r="B2" s="3">
        <v>101</v>
      </c>
      <c r="C2" s="3">
        <v>1</v>
      </c>
      <c r="D2" s="26" t="str">
        <f>IF(C2=1,E2&amp;" 골드",IF(C2=2,INDEX('02.CardData'!E:E,MATCH(E2,'02.CardData'!B:B,0)),IF(C2=3,INDEX('03.RelicData'!E:E,MATCH(E2,'03.RelicData'!A:A,0)),IF(C2=4,INDEX('06.PackData'!C:C,MATCH(E2,'06.PackData'!A:A,0)),IF(C2=6,"가챠테이블_"&amp;E2&amp;" Gacha_ID참조","X")))))</f>
        <v>15 골드</v>
      </c>
      <c r="E2" s="3">
        <v>15</v>
      </c>
      <c r="F2" s="3">
        <v>0</v>
      </c>
      <c r="I2" s="35" t="s">
        <v>1334</v>
      </c>
      <c r="J2" s="36"/>
      <c r="K2" s="37"/>
    </row>
    <row r="3" spans="1:17" x14ac:dyDescent="0.3">
      <c r="A3" s="3">
        <v>2</v>
      </c>
      <c r="B3" s="3">
        <v>101</v>
      </c>
      <c r="C3" s="3">
        <v>6</v>
      </c>
      <c r="D3" s="26" t="str">
        <f>IF(C3=1,E3&amp;" 골드",IF(C3=2,INDEX('02.CardData'!E:E,MATCH(E3,'02.CardData'!B:B,0)),IF(C3=3,INDEX('03.RelicData'!E:E,MATCH(E3,'03.RelicData'!A:A,0)),IF(C3=4,INDEX('06.PackData'!C:C,MATCH(E3,'06.PackData'!A:A,0)),IF(C3=6,"가챠테이블_"&amp;E3&amp;" Gacha_ID참조","X")))))</f>
        <v>가챠테이블_10101 Gacha_ID참조</v>
      </c>
      <c r="E3" s="1">
        <v>10101</v>
      </c>
      <c r="F3" s="3">
        <v>1</v>
      </c>
      <c r="I3" s="2" t="s">
        <v>85</v>
      </c>
      <c r="J3" s="2" t="s">
        <v>86</v>
      </c>
      <c r="K3" s="2" t="s">
        <v>87</v>
      </c>
    </row>
    <row r="4" spans="1:17" x14ac:dyDescent="0.3">
      <c r="A4" s="3">
        <v>3</v>
      </c>
      <c r="B4" s="3">
        <v>102</v>
      </c>
      <c r="C4" s="3">
        <v>1</v>
      </c>
      <c r="D4" s="26" t="str">
        <f>IF(C4=1,E4&amp;" 골드",IF(C4=2,INDEX('02.CardData'!E:E,MATCH(E4,'02.CardData'!B:B,0)),IF(C4=3,INDEX('03.RelicData'!E:E,MATCH(E4,'03.RelicData'!A:A,0)),IF(C4=4,INDEX('06.PackData'!C:C,MATCH(E4,'06.PackData'!A:A,0)),IF(C4=6,"가챠테이블_"&amp;E4&amp;" Gacha_ID참조","X")))))</f>
        <v>45 골드</v>
      </c>
      <c r="E4" s="3">
        <v>45</v>
      </c>
      <c r="F4" s="3">
        <v>0</v>
      </c>
      <c r="I4" s="2" t="s">
        <v>1176</v>
      </c>
      <c r="J4" s="6" t="s">
        <v>88</v>
      </c>
      <c r="K4" s="6" t="s">
        <v>88</v>
      </c>
    </row>
    <row r="5" spans="1:17" x14ac:dyDescent="0.3">
      <c r="A5" s="3">
        <v>4</v>
      </c>
      <c r="B5" s="3">
        <v>102</v>
      </c>
      <c r="C5" s="3">
        <v>6</v>
      </c>
      <c r="D5" s="26" t="str">
        <f>IF(C5=1,E5&amp;" 골드",IF(C5=2,INDEX('02.CardData'!E:E,MATCH(E5,'02.CardData'!B:B,0)),IF(C5=3,INDEX('03.RelicData'!E:E,MATCH(E5,'03.RelicData'!A:A,0)),IF(C5=4,INDEX('06.PackData'!C:C,MATCH(E5,'06.PackData'!A:A,0)),IF(C5=6,"가챠테이블_"&amp;E5&amp;" Gacha_ID참조","X")))))</f>
        <v>가챠테이블_10201 Gacha_ID참조</v>
      </c>
      <c r="E5" s="1">
        <v>10201</v>
      </c>
      <c r="F5" s="3">
        <v>1</v>
      </c>
      <c r="I5" s="2" t="s">
        <v>1314</v>
      </c>
      <c r="J5" s="6" t="s">
        <v>1325</v>
      </c>
      <c r="K5" s="6" t="s">
        <v>88</v>
      </c>
    </row>
    <row r="6" spans="1:17" x14ac:dyDescent="0.3">
      <c r="A6" s="3">
        <v>5</v>
      </c>
      <c r="B6" s="3">
        <v>103</v>
      </c>
      <c r="C6" s="3">
        <v>1</v>
      </c>
      <c r="D6" s="26" t="str">
        <f>IF(C6=1,E6&amp;" 골드",IF(C6=2,INDEX('02.CardData'!E:E,MATCH(E6,'02.CardData'!B:B,0)),IF(C6=3,INDEX('03.RelicData'!E:E,MATCH(E6,'03.RelicData'!A:A,0)),IF(C6=4,INDEX('06.PackData'!C:C,MATCH(E6,'06.PackData'!A:A,0)),IF(C6=6,"가챠테이블_"&amp;E6&amp;" Gacha_ID참조","X")))))</f>
        <v>90 골드</v>
      </c>
      <c r="E6" s="3">
        <v>90</v>
      </c>
      <c r="F6" s="3">
        <v>0</v>
      </c>
      <c r="I6" s="2" t="s">
        <v>1028</v>
      </c>
      <c r="J6" s="6" t="s">
        <v>1326</v>
      </c>
      <c r="K6" s="6" t="s">
        <v>100</v>
      </c>
      <c r="M6" s="42" t="s">
        <v>1329</v>
      </c>
      <c r="N6" s="42"/>
      <c r="O6" s="42"/>
      <c r="P6" s="42"/>
      <c r="Q6" s="42"/>
    </row>
    <row r="7" spans="1:17" x14ac:dyDescent="0.3">
      <c r="A7" s="3">
        <v>6</v>
      </c>
      <c r="B7" s="3">
        <v>103</v>
      </c>
      <c r="C7" s="3">
        <v>6</v>
      </c>
      <c r="D7" s="26" t="str">
        <f>IF(C7=1,E7&amp;" 골드",IF(C7=2,INDEX('02.CardData'!E:E,MATCH(E7,'02.CardData'!B:B,0)),IF(C7=3,INDEX('03.RelicData'!E:E,MATCH(E7,'03.RelicData'!A:A,0)),IF(C7=4,INDEX('06.PackData'!C:C,MATCH(E7,'06.PackData'!A:A,0)),IF(C7=6,"가챠테이블_"&amp;E7&amp;" Gacha_ID참조","X")))))</f>
        <v>가챠테이블_10301 Gacha_ID참조</v>
      </c>
      <c r="E7" s="1">
        <v>10301</v>
      </c>
      <c r="F7" s="3">
        <v>1</v>
      </c>
      <c r="I7" s="2" t="s">
        <v>1323</v>
      </c>
      <c r="J7" s="6" t="s">
        <v>1327</v>
      </c>
      <c r="K7" s="6" t="s">
        <v>100</v>
      </c>
      <c r="M7" s="2" t="s">
        <v>1322</v>
      </c>
      <c r="N7" s="2" t="s">
        <v>86</v>
      </c>
      <c r="O7" s="2" t="s">
        <v>1323</v>
      </c>
      <c r="P7" s="2" t="s">
        <v>1324</v>
      </c>
      <c r="Q7" s="2" t="s">
        <v>1160</v>
      </c>
    </row>
    <row r="8" spans="1:17" x14ac:dyDescent="0.3">
      <c r="A8" s="3">
        <v>7</v>
      </c>
      <c r="B8" s="3">
        <v>103</v>
      </c>
      <c r="C8" s="3">
        <v>6</v>
      </c>
      <c r="D8" s="26" t="str">
        <f>IF(C8=1,E8&amp;" 골드",IF(C8=2,INDEX('02.CardData'!E:E,MATCH(E8,'02.CardData'!B:B,0)),IF(C8=3,INDEX('03.RelicData'!E:E,MATCH(E8,'03.RelicData'!A:A,0)),IF(C8=4,INDEX('06.PackData'!C:C,MATCH(E8,'06.PackData'!A:A,0)),IF(C8=6,"가챠테이블_"&amp;E8&amp;" Gacha_ID참조","X")))))</f>
        <v>가챠테이블_10302 Gacha_ID참조</v>
      </c>
      <c r="E8" s="1">
        <v>10302</v>
      </c>
      <c r="F8" s="3">
        <v>1</v>
      </c>
      <c r="I8" s="2" t="s">
        <v>1324</v>
      </c>
      <c r="J8" s="6" t="s">
        <v>1328</v>
      </c>
      <c r="K8" s="6" t="s">
        <v>122</v>
      </c>
      <c r="M8" s="3">
        <v>1</v>
      </c>
      <c r="N8" s="3" t="s">
        <v>1330</v>
      </c>
      <c r="O8" s="3" t="s">
        <v>1336</v>
      </c>
      <c r="P8" s="3" t="s">
        <v>1337</v>
      </c>
      <c r="Q8" s="3"/>
    </row>
    <row r="9" spans="1:17" x14ac:dyDescent="0.3">
      <c r="M9" s="3">
        <v>2</v>
      </c>
      <c r="N9" s="3" t="s">
        <v>1331</v>
      </c>
      <c r="O9" s="27" t="s">
        <v>1166</v>
      </c>
      <c r="P9" s="27" t="s">
        <v>1163</v>
      </c>
      <c r="Q9" s="27" t="s">
        <v>1167</v>
      </c>
    </row>
    <row r="10" spans="1:17" x14ac:dyDescent="0.3">
      <c r="M10" s="3">
        <v>3</v>
      </c>
      <c r="N10" s="3" t="s">
        <v>1332</v>
      </c>
      <c r="O10" s="27" t="s">
        <v>593</v>
      </c>
      <c r="P10" s="27" t="s">
        <v>1163</v>
      </c>
      <c r="Q10" s="27" t="s">
        <v>1168</v>
      </c>
    </row>
    <row r="11" spans="1:17" x14ac:dyDescent="0.3">
      <c r="M11" s="3">
        <v>4</v>
      </c>
      <c r="N11" s="3" t="s">
        <v>1333</v>
      </c>
      <c r="O11" s="3" t="s">
        <v>1008</v>
      </c>
      <c r="P11" s="27" t="s">
        <v>1163</v>
      </c>
      <c r="Q11" s="27" t="s">
        <v>1172</v>
      </c>
    </row>
    <row r="12" spans="1:17" x14ac:dyDescent="0.3">
      <c r="M12" s="3">
        <v>6</v>
      </c>
      <c r="N12" s="3" t="s">
        <v>1335</v>
      </c>
      <c r="O12" s="3" t="s">
        <v>1026</v>
      </c>
      <c r="P12" s="27" t="s">
        <v>1163</v>
      </c>
      <c r="Q12" s="3" t="s">
        <v>1338</v>
      </c>
    </row>
  </sheetData>
  <mergeCells count="2">
    <mergeCell ref="I2:K2"/>
    <mergeCell ref="M6:Q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  <vt:lpstr>11.RequestData</vt:lpstr>
      <vt:lpstr>12.RequestWeightData</vt:lpstr>
      <vt:lpstr>13.BoxData</vt:lpstr>
      <vt:lpstr>14.BoxItemData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2026-05-10T23:04:31Z</dcterms:modified>
</cp:coreProperties>
</file>
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7B5F19CA-6D29-49B7-9133-756A18367E4B}" xr6:coauthVersionLast="47" xr6:coauthVersionMax="47" xr10:uidLastSave="{00000000-0000-0000-0000-000000000000}"/>
  <bookViews>
    <workbookView xWindow="-28800" yWindow="5295" windowWidth="14610" windowHeight="15585" firstSheet="3" activeTab="5" xr2:uid="{4D4BC3DD-3DE6-4D99-9EA3-BD1AE9E87446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" i="5" l="1"/>
  <c r="P36" i="5"/>
  <c r="Q36" i="5"/>
  <c r="R36" i="5"/>
  <c r="S36" i="5"/>
  <c r="T36" i="5"/>
  <c r="U36" i="5"/>
  <c r="V36" i="5"/>
  <c r="W36" i="5"/>
  <c r="X36" i="5"/>
  <c r="C36" i="5"/>
  <c r="F166" i="9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<sst xmlns="http://schemas.openxmlformats.org/spreadsheetml/2006/main" count="1851" uniqueCount="1197">
  <si>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</si>
  <si>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</si>
  <si>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</si>
  <si>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</si>
  <si>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</si>
  <si>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</si>
  <si>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</si>
  <si>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</si>
  <si>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</si>
  <si>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</si>
  <si>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</si>
  <si>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</si>
  <si>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</si>
  <si>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</si>
  <si>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</si>
  <si>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</si>
  <si>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</si>
  <si>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</si>
  <si>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</si>
  <si>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</si>
  <si>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</si>
  <si>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</si>
  <si>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</si>
  <si>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</si>
  <si>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</si>
  <si>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</si>
  <si>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</si>
  <si>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</si>
  <si>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</si>
  <si>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</si>
  <si>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</si>
  <si>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</si>
  <si>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</si>
  <si>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</si>
  <si>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</si>
  <si>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</si>
  <si>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</si>
  <si>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</si>
  <si>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</si>
  <si>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</si>
  <si>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</si>
  <si>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</si>
  <si>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</si>
  <si>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</si>
  <si>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</si>
  <si>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</si>
  <si>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</si>
  <si>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</si>
  <si>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</si>
  <si>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</si>
  <si>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</si>
  <si>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</si>
  <si>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</si>
  <si>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</si>
  <si>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</si>
  <si>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</si>
  <si>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</si>
  <si>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</si>
  <si>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</si>
  <si>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</si>
  <si>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</si>
  <si>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</si>
  <si>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</si>
  <si>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</si>
  <si>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</si>
  <si>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</si>
  <si>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</si>
  <si>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</si>
  <si>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</si>
  <si>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</si>
  <si>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</si>
  <si>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</si>
  <si>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</si>
  <si>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</si>
  <si>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</si>
  <si>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</si>
  <si>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</si>
  <si>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</si>
  <si>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</si>
  <si>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</si>
  <si>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</si>
  <si>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</si>
  <si>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</si>
  <si>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</si>
  <si>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</si>
  <si>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</si>
  <si>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</si>
  <si>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</si>
  <si>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</si>
  <si>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</si>
  <si>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</si>
  <si>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</si>
  <si>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</si>
  <si>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</si>
  <si>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</si>
  <si>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</si>
  <si>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</si>
  <si>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</si>
  <si>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</si>
  <si>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</si>
  <si>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</si>
  <si>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</si>
  <si>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</si>
  <si>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</si>
  <si>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</si>
  <si>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</si>
  <si>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</si>
  <si>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</si>
  <si>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</si>
  <si>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</si>
  <si>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</si>
  <si>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</si>
  <si>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</si>
  <si>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</si>
  <si>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</si>
  <si>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</si>
  <si>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</si>
  <si>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</si>
  <si>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</si>
  <si>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</si>
  <si>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</si>
  <si>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</si>
  <si>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</si>
  <si>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</si>
  <si>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</si>
  <si>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</si>
  <si>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</si>
  <si>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</si>
  <si>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</si>
  <si>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</si>
  <si>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</si>
  <si>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</si>
  <si>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</si>
  <si>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</si>
  <si>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</si>
  <si>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</si>
  <si>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</si>
  <si>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</si>
  <si>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</si>
  <si>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</si>
  <si>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</si>
  <si>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</si>
  <si>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</si>
  <si>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</si>
  <si>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</si>
  <si>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</si>
  <si>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</si>
  <si>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</si>
  <si>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</si>
  <si>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</si>
  <si>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</si>
  <si>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</si>
  <si>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</si>
  <si>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</si>
  <si>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</si>
  <si>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</si>
  <si>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</si>
  <si>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</si>
  <si>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</si>
  <si>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</si>
  <si>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</si>
  <si>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</si>
  <si>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</si>
  <si>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</si>
  <si>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</si>
  <si>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</si>
  <si>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</si>
  <si>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</si>
  <si>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</si>
  <si>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</si>
  <si>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</si>
  <si>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</si>
  <si>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</si>
  <si>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</si>
  <si>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</si>
  <si>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</si>
  <si>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</si>
  <si>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</si>
  <si>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</si>
  <si>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</si>
  <si>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</si>
  <si>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</si>
  <si>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</si>
  <si>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</si>
  <si>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</si>
  <si>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</si>
  <si>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</si>
  <si>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</si>
  <si>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</si>
  <si>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</si>
  <si>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</si>
  <si>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</si>
  <si>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</si>
  <si>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</si>
  <si>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</si>
  <si>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</si>
  <si>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</si>
  <si>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</si>
  <si>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</si>
  <si>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</si>
  <si>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</si>
  <si>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</si>
  <si>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</si>
  <si>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</si>
  <si>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</si>
  <si>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</si>
  <si>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</si>
  <si>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</si>
  <si>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</si>
  <si>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</si>
  <si>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</si>
  <si>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</si>
  <si>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</si>
  <si>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</si>
  <si>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</si>
  <si>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</si>
  <si>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</si>
  <si>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</si>
  <si>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</si>
  <si>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</si>
  <si>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</si>
  <si>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</si>
  <si>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</si>
  <si>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</si>
  <si>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</si>
  <si>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</si>
  <si>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</si>
  <si>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</si>
  <si>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</si>
  <si>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</si>
  <si>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</si>
  <si>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</si>
  <si>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</si>
  <si>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</si>
  <si>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</si>
  <si>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</si>
  <si>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</si>
  <si>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</si>
  <si>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</si>
  <si>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</si>
  <si>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</si>
  <si>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</si>
  <si>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</si>
  <si>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</si>
  <si>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</si>
  <si>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</si>
  <si>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</si>
  <si>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</si>
  <si>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</si>
  <si>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</si>
  <si>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</si>
  <si>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</si>
  <si>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</si>
  <si>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</si>
  <si>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</si>
  <si>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</si>
  <si>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</si>
  <si>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</si>
  <si>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</si>
  <si>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</si>
  <si>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</si>
  <si>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</si>
  <si>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</si>
  <si>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</si>
  <si>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</si>
  <si>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</si>
  <si>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</si>
  <si>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</si>
  <si>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</si>
  <si>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</si>
  <si>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</si>
  <si>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</si>
  <si>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</si>
  <si>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</si>
  <si>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</si>
  <si>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</si>
  <si>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</si>
  <si>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</si>
  <si>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</si>
  <si>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</si>
  <si>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</si>
  <si>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</si>
  <si>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</si>
  <si>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</si>
  <si>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</si>
  <si>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</si>
  <si>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</si>
  <si>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</si>
  <si>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</si>
  <si>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</si>
  <si>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</si>
  <si>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</si>
  <si>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</si>
  <si>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</si>
  <si>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</si>
  <si>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</si>
  <si>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</si>
  <si>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</si>
  <si>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</si>
  <si>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</si>
  <si>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</si>
  <si>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</si>
  <si>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</si>
  <si>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</si>
  <si>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</si>
  <si>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</si>
  <si>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</si>
  <si>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</si>
  <si>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</si>
  <si>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</si>
  <si>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</si>
  <si>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</si>
  <si>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</si>
  <si>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</si>
  <si>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</si>
  <si>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</si>
  <si>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</si>
  <si>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</si>
  <si>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</si>
  <si>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</si>
  <si>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</si>
  <si>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</si>
  <si>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</si>
  <si>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</si>
  <si>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</si>
  <si>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</si>
  <si>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</si>
  <si>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</si>
  <si>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</si>
  <si>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</si>
  <si>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</si>
  <si>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</si>
  <si>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</si>
  <si>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</si>
  <si>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</si>
  <si>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</si>
  <si>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</si>
  <si>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</si>
  <si>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</si>
  <si>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</si>
  <si>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</si>
  <si>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</si>
  <si>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</si>
  <si>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</si>
  <si>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</si>
  <si>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</si>
  <si>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</si>
  <si>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</si>
  <si>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</si>
  <si>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</si>
  <si>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</si>
  <si>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</si>
  <si>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</si>
  <si>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</si>
  <si>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</si>
  <si>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</si>
  <si>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</si>
  <si>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</si>
  <si>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</si>
  <si>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</si>
  <si>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</si>
  <si>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</si>
  <si>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</si>
  <si>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</si>
  <si>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</si>
  <si>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</si>
  <si>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</si>
  <si>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</si>
  <si>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</si>
  <si>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</si>
  <si>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</si>
  <si>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</si>
  <si>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골드 획득량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</si>
  <si>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</si>
  <si>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</si>
  <si>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</si>
  <si>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</si>
  <si>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</si>
  <si>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</si>
  <si>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</si>
  <si>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</si>
  <si>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</si>
  <si>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</si>
  <si>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</si>
  <si>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</si>
  <si>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</si>
  <si>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</si>
  <si>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</si>
  <si>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</si>
  <si>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</si>
  <si>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</si>
  <si>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</si>
  <si>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</si>
  <si>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</si>
  <si>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</si>
  <si>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</si>
  <si>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</si>
  <si>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</si>
  <si>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</si>
  <si>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</si>
  <si>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</si>
  <si>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</si>
  <si>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</si>
  <si>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</si>
  <si>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</si>
  <si>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</si>
  <si>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</si>
  <si>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</si>
  <si>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</si>
  <si>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</si>
  <si>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</si>
  <si>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</si>
  <si>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</si>
  <si>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</si>
  <si>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</si>
  <si>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</si>
  <si>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</si>
  <si>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</si>
  <si>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</si>
  <si>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</si>
  <si>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</si>
  <si>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</si>
  <si>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</si>
  <si>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</si>
  <si>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</si>
  <si>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</si>
  <si>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</si>
  <si>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</si>
  <si>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</si>
  <si>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</si>
  <si>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</si>
  <si>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</si>
  <si>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</si>
  <si>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</si>
  <si>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</si>
  <si>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</si>
  <si>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</si>
  <si>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</si>
  <si>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</si>
  <si>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</si>
  <si>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</si>
  <si>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</si>
  <si>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</si>
  <si>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</si>
  <si>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</si>
  <si>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</si>
  <si>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</si>
  <si>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</si>
  <si>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</si>
  <si>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</si>
  <si>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</si>
  <si>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</si>
  <si>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</si>
  <si>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</si>
  <si>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</si>
  <si>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</si>
  <si>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</si>
  <si>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</si>
  <si>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</si>
  <si>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</si>
  <si>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</si>
  <si>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</si>
  <si>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</si>
  <si>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</si>
  <si>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</si>
  <si>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</si>
  <si>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</si>
  <si>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</si>
  <si>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</si>
  <si>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</si>
  <si>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</si>
  <si>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</si>
  <si>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</si>
  <si>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</si>
  <si>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</si>
  <si>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</si>
  <si>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</si>
  <si>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</si>
  <si>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</si>
  <si>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</si>
  <si>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</si>
  <si>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</si>
  <si>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</si>
  <si>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</si>
  <si>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</si>
  <si>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</si>
  <si>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</si>
  <si>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</si>
  <si>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</si>
  <si>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</si>
  <si>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</si>
  <si>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</si>
  <si>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</si>
  <si>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</si>
  <si>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</si>
  <si>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</si>
  <si>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</si>
  <si>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</si>
  <si>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</si>
  <si>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</si>
  <si>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</si>
  <si>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</si>
  <si>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</si>
  <si>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</si>
  <si>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</si>
  <si>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</si>
  <si>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</si>
  <si>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</si>
  <si>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</si>
  <si>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</si>
  <si>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</si>
  <si>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</si>
  <si>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</si>
  <si>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</si>
  <si>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</si>
  <si>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</si>
  <si>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</si>
  <si>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</si>
  <si>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</si>
  <si>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</si>
  <si>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</si>
  <si>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</si>
  <si>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</si>
  <si>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</si>
  <si>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</si>
  <si>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</si>
  <si>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</si>
  <si>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</si>
  <si>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</si>
  <si>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</si>
  <si>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</si>
  <si>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</si>
  <si>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</si>
  <si>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</si>
  <si>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</si>
  <si>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</si>
  <si>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</si>
  <si>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</si>
  <si>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</si>
  <si>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</si>
  <si>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</si>
  <si>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</si>
  <si>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</si>
  <si>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</si>
  <si>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</si>
  <si>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</si>
  <si>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</si>
  <si>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</si>
  <si>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</si>
  <si>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</si>
  <si>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</si>
  <si>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</si>
  <si>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</si>
  <si>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</si>
  <si>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</si>
  <si>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</si>
  <si>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</si>
  <si>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</si>
  <si>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</si>
  <si>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</si>
  <si>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</si>
  <si>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</si>
  <si>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</si>
  <si>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</si>
  <si>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</si>
  <si>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</si>
  <si>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</si>
  <si>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</si>
  <si>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</si>
  <si>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</si>
  <si>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</si>
  <si>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</si>
  <si>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</si>
  <si>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</si>
  <si>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</si>
  <si>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</si>
  <si>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</si>
  <si>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</si>
  <si>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</si>
  <si>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</si>
  <si>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</si>
  <si>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</si>
  <si>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</si>
  <si>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</si>
  <si>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</si>
  <si>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</si>
  <si>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</si>
  <si>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</si>
  <si>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</si>
  <si>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</si>
  <si>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</si>
  <si>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</si>
  <si>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</si>
  <si>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</si>
  <si>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</si>
  <si>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</si>
  <si>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</si>
  <si>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</si>
  <si>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</si>
  <si>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</si>
  <si>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</si>
  <si>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</si>
  <si>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</si>
  <si>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</si>
  <si>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</si>
  <si>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</si>
  <si>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</si>
  <si>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</si>
  <si>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</si>
  <si>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</si>
  <si>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</si>
  <si>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</si>
  <si>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</si>
  <si>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</si>
  <si>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</si>
  <si>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</si>
  <si>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</si>
  <si>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</si>
  <si>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</si>
  <si>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</si>
  <si>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</si>
  <si>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</si>
  <si>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</si>
  <si>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</si>
  <si>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</si>
  <si>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</si>
  <si>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</si>
  <si>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</si>
  <si>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</si>
  <si>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</si>
  <si>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</si>
  <si>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</si>
  <si>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</si>
  <si>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</si>
  <si>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</si>
  <si>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</si>
  <si>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</si>
  <si>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</si>
  <si>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</si>
  <si>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</si>
  <si>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</si>
  <si>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</si>
  <si>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</si>
  <si>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</si>
  <si>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</si>
  <si>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</si>
  <si>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</si>
  <si>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</si>
  <si>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</si>
  <si>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</si>
  <si>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</si>
  <si>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</si>
  <si>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</si>
  <si>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</si>
  <si>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</si>
  <si>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</si>
  <si>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</si>
  <si>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</si>
  <si>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</si>
  <si>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</si>
  <si>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</si>
  <si>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</si>
  <si>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</si>
  <si>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</si>
  <si>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</si>
  <si>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</si>
  <si>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</si>
  <si>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</si>
  <si>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</si>
  <si>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</si>
  <si>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</si>
  <si>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</si>
  <si>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</si>
  <si>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</si>
  <si>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</si>
  <si>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</si>
  <si>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</si>
  <si>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</si>
  <si>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</si>
  <si>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</si>
  <si>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</si>
  <si>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</si>
  <si>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</si>
  <si>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</si>
  <si>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</si>
  <si>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</si>
  <si>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</si>
  <si>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</si>
  <si>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</si>
  <si>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</si>
  <si>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</si>
  <si>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</si>
  <si>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</si>
  <si>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</si>
  <si>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</si>
  <si>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</si>
  <si>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</si>
  <si>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</si>
  <si>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</si>
  <si>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</si>
  <si>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</si>
  <si>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</si>
  <si>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</si>
  <si>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</si>
  <si>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</si>
  <si>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</si>
  <si>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</si>
  <si>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</si>
  <si>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</si>
  <si>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</si>
  <si>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</si>
  <si>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</si>
  <si>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</si>
  <si>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</si>
  <si>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</si>
  <si>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</si>
  <si>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</si>
  <si>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</si>
  <si>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</si>
  <si>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</si>
  <si>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</si>
  <si>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</si>
  <si>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</si>
  <si>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</si>
  <si>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</si>
  <si>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</si>
  <si>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</si>
  <si>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</si>
  <si>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</si>
  <si>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</si>
  <si>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</si>
  <si>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</si>
  <si>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</si>
  <si>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</si>
  <si>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</si>
  <si>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</si>
  <si>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</si>
  <si>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</si>
  <si>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</si>
  <si>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</si>
  <si>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</si>
  <si>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</si>
  <si>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</si>
  <si>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</si>
  <si>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</si>
  <si>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</si>
  <si>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</si>
  <si>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</si>
  <si>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</si>
  <si>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</si>
  <si>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</si>
  <si>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</si>
  <si>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</si>
  <si>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</si>
  <si>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</si>
  <si>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</si>
  <si>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</si>
  <si>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</si>
  <si>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</si>
  <si>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</si>
  <si>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</si>
  <si>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</si>
  <si>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</si>
  <si>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</si>
  <si>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</si>
  <si>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</si>
  <si>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</si>
  <si>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</si>
  <si>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</si>
  <si>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</si>
  <si>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</si>
  <si>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</si>
  <si>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</si>
  <si>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</si>
  <si>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</si>
  <si>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</si>
  <si>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</si>
  <si>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</si>
  <si>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</si>
  <si>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</si>
  <si>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</si>
  <si>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</si>
  <si>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</si>
  <si>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</si>
  <si>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</si>
  <si>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</si>
  <si>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</si>
  <si>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</si>
  <si>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</si>
  <si>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</si>
  <si>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</si>
  <si>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</si>
  <si>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</si>
  <si>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</si>
  <si>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</si>
  <si>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</si>
  <si>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</si>
  <si>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</si>
  <si>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</si>
  <si>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</si>
  <si>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</si>
  <si>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</si>
  <si>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</si>
  <si>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</si>
  <si>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</si>
  <si>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</si>
  <si>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</si>
  <si>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</si>
  <si>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</si>
  <si>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</si>
  <si>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</si>
  <si>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</si>
  <si>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</si>
  <si>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</si>
  <si>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</si>
  <si>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</si>
  <si>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</si>
  <si>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</si>
  <si>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</si>
  <si>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</si>
  <si>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</si>
  <si>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</si>
  <si>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</si>
  <si>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</si>
  <si>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</si>
  <si>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</si>
  <si>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</si>
  <si>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</si>
  <si>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</si>
  <si>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</si>
  <si>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</si>
  <si>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</si>
  <si>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</si>
  <si>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</si>
  <si>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</si>
  <si>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</si>
  <si>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</si>
  <si>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</si>
  <si>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</si>
  <si>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</si>
  <si>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</si>
  <si>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</si>
  <si>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</si>
  <si>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</si>
  <si>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</si>
  <si>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</si>
  <si>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</si>
  <si>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</si>
  <si>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</si>
  <si>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</si>
  <si>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</si>
  <si>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</si>
  <si>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</si>
  <si>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</si>
  <si>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</si>
  <si>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</si>
  <si>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</si>
  <si>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</si>
  <si>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</si>
  <si>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</si>
  <si>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</si>
  <si>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</si>
  <si>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</si>
  <si>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</si>
  <si>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</si>
  <si>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</si>
  <si>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</si>
  <si>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</si>
  <si>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</si>
  <si>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</si>
  <si>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</si>
  <si>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</si>
  <si>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</si>
  <si>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</si>
  <si>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</si>
  <si>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</si>
  <si>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</si>
  <si>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</si>
  <si>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</si>
  <si>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</si>
  <si>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</si>
  <si>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</si>
  <si>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</si>
  <si>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</si>
  <si>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</si>
  <si>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</si>
  <si>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</si>
  <si>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</si>
  <si>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</si>
  <si>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</si>
  <si>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</si>
  <si>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</si>
  <si>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</si>
  <si>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</si>
  <si>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</si>
  <si>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</si>
  <si>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</si>
  <si>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</si>
  <si>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</si>
  <si>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</si>
  <si>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</si>
  <si>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</si>
  <si>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</si>
  <si>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</si>
  <si>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</si>
  <si>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</si>
  <si>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</si>
  <si>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</si>
  <si>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</si>
  <si>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</si>
  <si>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</si>
  <si>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</si>
  <si>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</si>
  <si>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</si>
  <si>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</si>
  <si>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</si>
  <si>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</si>
  <si>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</si>
  <si>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</si>
  <si>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</si>
  <si>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</si>
  <si>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</si>
  <si>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</si>
  <si>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</si>
  <si>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</si>
  <si>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</si>
  <si>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</si>
  <si>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</si>
  <si>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</si>
  <si>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</si>
  <si>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</si>
  <si>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</si>
  <si>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</si>
  <si>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</si>
  <si>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</si>
  <si>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</si>
  <si>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</si>
  <si>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</si>
  <si>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</si>
  <si>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</si>
  <si>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</si>
  <si>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</si>
  <si>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</si>
  <si>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</si>
  <si>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</si>
  <si>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</si>
  <si>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</si>
  <si>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</si>
  <si>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</si>
  <si>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</si>
  <si>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</si>
  <si>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</si>
  <si>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</si>
  <si>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</si>
  <si>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</si>
  <si>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</si>
  <si>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</si>
  <si>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</si>
  <si>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</si>
  <si>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</si>
  <si>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</si>
  <si>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</si>
  <si>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</si>
  <si>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</si>
  <si>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</si>
  <si>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</si>
  <si>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</si>
  <si>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</si>
  <si>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</si>
  <si>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</si>
  <si>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</si>
  <si>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</si>
  <si>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</si>
  <si>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</si>
  <si>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</si>
  <si>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</si>
  <si>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</si>
  <si>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</si>
  <si>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</si>
  <si>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</si>
  <si>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</si>
  <si>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</si>
  <si>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</si>
  <si>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</si>
  <si>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</si>
  <si>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</si>
  <si>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</si>
  <si>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</si>
  <si>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</si>
  <si>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</si>
  <si>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</si>
  <si>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</si>
  <si>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</si>
  <si>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</si>
  <si>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</si>
  <si>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</si>
  <si>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</si>
  <si>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</si>
  <si>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</si>
  <si>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</si>
  <si>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</si>
  <si>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</si>
  <si>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</si>
  <si>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</si>
  <si>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</si>
  <si>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</si>
  <si>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</si>
  <si>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</si>
  <si>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</si>
  <si>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</si>
  <si>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</si>
  <si>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</si>
  <si>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</si>
  <si>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</si>
  <si>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</si>
  <si>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</si>
  <si>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</si>
  <si>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</si>
  <si>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</si>
  <si>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</si>
  <si>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</si>
  <si>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</si>
  <si>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</si>
  <si>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</si>
  <si>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</si>
  <si>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</si>
  <si>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</si>
  <si>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</si>
  <si>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</si>
  <si>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</si>
  <si>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</si>
  <si>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</si>
  <si>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</si>
  <si>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</si>
  <si>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</si>
  <si>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</si>
  <si>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</si>
  <si>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</si>
  <si>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</si>
  <si>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</si>
  <si>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</si>
  <si>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</si>
  <si>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</si>
  <si>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</si>
  <si>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</si>
  <si>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</si>
  <si>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</si>
  <si>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</si>
  <si>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</si>
  <si>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</si>
  <si>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</si>
  <si>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</si>
  <si>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</si>
  <si>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</si>
  <si>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</si>
  <si>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</si>
  <si>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</si>
  <si>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</si>
  <si>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</si>
  <si>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</si>
  <si>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</si>
  <si>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</si>
  <si>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</si>
  <si>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</si>
  <si>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</si>
  <si>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</si>
  <si>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</si>
  <si>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</si>
  <si>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</si>
  <si>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</si>
  <si>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</si>
  <si>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</si>
  <si>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</si>
  <si>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</si>
  <si>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</si>
  <si>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</si>
  <si>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</si>
  <si>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</si>
  <si>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</si>
  <si>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</si>
  <si>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</si>
  <si>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</si>
  <si>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</si>
  <si>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</si>
  <si>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</si>
  <si>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</si>
  <si>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</si>
  <si>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</si>
  <si>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</si>
  <si>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</si>
  <si>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</si>
  <si>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</si>
  <si>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</si>
  <si>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</si>
  <si>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</si>
  <si>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</si>
  <si>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</si>
  <si>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</si>
  <si>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</si>
  <si>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</si>
  <si>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</si>
  <si>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</si>
  <si>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</si>
  <si>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</si>
  <si>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</si>
  <si>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</si>
  <si>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</si>
  <si>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</si>
  <si>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</si>
  <si>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</si>
  <si>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</si>
  <si>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</si>
  <si>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</si>
  <si>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</si>
  <si>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</si>
  <si>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</si>
  <si>
    <t>Card_Add_Type</t>
    <phoneticPr fontId="2" type="noConversion"/>
  </si>
  <si>
    <t>card add type 정리</t>
    <phoneticPr fontId="2" type="noConversion"/>
  </si>
  <si>
    <t>효과명</t>
    <phoneticPr fontId="2" type="noConversion"/>
  </si>
  <si>
    <t>value_1</t>
    <phoneticPr fontId="2" type="noConversion"/>
  </si>
  <si>
    <t>value_2</t>
    <phoneticPr fontId="2" type="noConversion"/>
  </si>
  <si>
    <t>value_3</t>
    <phoneticPr fontId="2" type="noConversion"/>
  </si>
  <si>
    <t>card add type</t>
    <phoneticPr fontId="2" type="noConversion"/>
  </si>
  <si>
    <t>랜덤 일반 타일 타격</t>
    <phoneticPr fontId="2" type="noConversion"/>
  </si>
  <si>
    <t>횟수(정수)</t>
    <phoneticPr fontId="2" type="noConversion"/>
  </si>
  <si>
    <t>확률(만분율)</t>
    <phoneticPr fontId="2" type="noConversion"/>
  </si>
  <si>
    <t>타격 지점 균열 부여</t>
    <phoneticPr fontId="2" type="noConversion"/>
  </si>
  <si>
    <t>암흑 타일 밝힘</t>
    <phoneticPr fontId="2" type="noConversion"/>
  </si>
  <si>
    <t>도움 타일 타격 시 골드 획득</t>
    <phoneticPr fontId="2" type="noConversion"/>
  </si>
  <si>
    <t>방해 타일 타격 시 골드 획득</t>
    <phoneticPr fontId="2" type="noConversion"/>
  </si>
  <si>
    <t>방해 타일 타입(인덱스)</t>
    <phoneticPr fontId="2" type="noConversion"/>
  </si>
  <si>
    <t>잔상 타일 타격 시 무작위 타일 파괴</t>
    <phoneticPr fontId="2" type="noConversion"/>
  </si>
  <si>
    <t>파괴 칸 수 (정수)</t>
    <phoneticPr fontId="2" type="noConversion"/>
  </si>
  <si>
    <t>타일 (value_1) 파괴 시 타격된 모든 타일 파괴</t>
    <phoneticPr fontId="2" type="noConversion"/>
  </si>
  <si>
    <t>파괴 된 칸 수 (정수)</t>
    <phoneticPr fontId="2" type="noConversion"/>
  </si>
  <si>
    <t>균열 타일 파괴 시 골드 획득</t>
    <phoneticPr fontId="2" type="noConversion"/>
  </si>
  <si>
    <t>도움 타일 파괴 시 골드 획득</t>
    <phoneticPr fontId="2" type="noConversion"/>
  </si>
  <si>
    <t>방해 타일 파괴 시 골드 획득</t>
    <phoneticPr fontId="2" type="noConversion"/>
  </si>
  <si>
    <t>타일 n(value_1) 파괴 시 특정 태그(value_2) 카드 m(value_3)장 드로우</t>
    <phoneticPr fontId="2" type="noConversion"/>
  </si>
  <si>
    <t>태그 아이디 (인덱스)</t>
    <phoneticPr fontId="2" type="noConversion"/>
  </si>
  <si>
    <t>드로우 장 수(정수)</t>
    <phoneticPr fontId="2" type="noConversion"/>
  </si>
  <si>
    <t>타일 n(value_1) 파괴 시 특정 방향(value_2) 일반 타일 전체 파괴</t>
    <phoneticPr fontId="2" type="noConversion"/>
  </si>
  <si>
    <t>방향 아이디(인덱스)</t>
    <phoneticPr fontId="2" type="noConversion"/>
  </si>
  <si>
    <t>특정 방해 타일 타격 가능</t>
    <phoneticPr fontId="2" type="noConversion"/>
  </si>
  <si>
    <t>방해 타일 타입</t>
    <phoneticPr fontId="2" type="noConversion"/>
  </si>
  <si>
    <t>혼돈 타일</t>
    <phoneticPr fontId="2" type="noConversion"/>
  </si>
  <si>
    <t>카드 태그 아이디</t>
    <phoneticPr fontId="2" type="noConversion"/>
  </si>
  <si>
    <t>무기</t>
  </si>
  <si>
    <t>화염</t>
  </si>
  <si>
    <t>얼음</t>
  </si>
  <si>
    <t>전기</t>
  </si>
  <si>
    <t>마나</t>
  </si>
  <si>
    <t>마법</t>
  </si>
  <si>
    <t>방향 아이디</t>
    <phoneticPr fontId="2" type="noConversion"/>
  </si>
  <si>
    <t>가로 (↔)</t>
    <phoneticPr fontId="2" type="noConversion"/>
  </si>
  <si>
    <t>세로 (↕)</t>
    <phoneticPr fontId="2" type="noConversion"/>
  </si>
  <si>
    <t>가로 세로(↔↕)</t>
    <phoneticPr fontId="2" type="noConversion"/>
  </si>
  <si>
    <t>대각선a (↗↙)</t>
    <phoneticPr fontId="2" type="noConversion"/>
  </si>
  <si>
    <t>대각선b (↖↘)</t>
    <phoneticPr fontId="2" type="noConversion"/>
  </si>
  <si>
    <t>대각선(↗↙↖↘)</t>
    <phoneticPr fontId="2" type="noConversion"/>
  </si>
  <si>
    <t>전방향</t>
    <phoneticPr fontId="2" type="noConversion"/>
  </si>
  <si>
    <t>Card_Dummy_401_Name</t>
    <phoneticPr fontId="2" type="noConversion"/>
  </si>
  <si>
    <t>Card_Add_Test_1</t>
    <phoneticPr fontId="2" type="noConversion"/>
  </si>
  <si>
    <t>Card_Add_Test_1_Name</t>
    <phoneticPr fontId="2" type="noConversion"/>
  </si>
  <si>
    <t>Card_Dummy_401_Des</t>
    <phoneticPr fontId="2" type="noConversion"/>
  </si>
  <si>
    <t>Card_Add_Test_1_Name_Des</t>
    <phoneticPr fontId="2" type="noConversion"/>
  </si>
  <si>
    <t>Card_Add_Test_2</t>
  </si>
  <si>
    <t>Card_Add_Test_2_Name</t>
  </si>
  <si>
    <t>Card_Add_Test_2_Name_Des</t>
  </si>
  <si>
    <t>Card_Add_Test_3</t>
  </si>
  <si>
    <t>Card_Add_Test_3_Name</t>
  </si>
  <si>
    <t>Card_Add_Test_3_Name_Des</t>
  </si>
  <si>
    <t>Card_Add_Test_4</t>
  </si>
  <si>
    <t>Card_Add_Test_4_Name</t>
  </si>
  <si>
    <t>Card_Add_Test_4_Name_Des</t>
  </si>
  <si>
    <t>Card_Add_Test_5</t>
  </si>
  <si>
    <t>Card_Add_Test_5_Name</t>
  </si>
  <si>
    <t>Card_Add_Test_5_Name_Des</t>
  </si>
  <si>
    <t>Card_Add_Test_6</t>
  </si>
  <si>
    <t>Card_Add_Test_6_Name</t>
  </si>
  <si>
    <t>Card_Add_Test_6_Name_Des</t>
  </si>
  <si>
    <t>Card_Add_Test_7</t>
  </si>
  <si>
    <t>Card_Add_Test_7_Name</t>
  </si>
  <si>
    <t>Card_Add_Test_7_Name_Des</t>
  </si>
  <si>
    <t>Card_Add_Test_8</t>
  </si>
  <si>
    <t>Card_Add_Test_8_Name</t>
  </si>
  <si>
    <t>Card_Add_Test_8_Name_Des</t>
  </si>
  <si>
    <t>도움 타일 타격 시 골드 획득</t>
  </si>
  <si>
    <t>방해 타일 타격 시 골드 획득</t>
  </si>
  <si>
    <t>균열 타일 파괴 시 골드 획득</t>
  </si>
  <si>
    <t>도움 타일 파괴 시 골드 획득</t>
  </si>
  <si>
    <t>방해 타일 파괴 시 골드 획득</t>
  </si>
  <si>
    <t>타일 (value_1) 파괴 시 타격된 모든 타일 파괴</t>
  </si>
  <si>
    <t>타일 n(value_1) 파괴 시 특정 태그(value_2) 카드 m(value_3)장 드로우</t>
  </si>
  <si>
    <t>타일 n(value_1) 파괴 시 특정 방향(value_2) 일반 타일 전체 파괴</t>
  </si>
  <si>
    <t>특정 방해 타일 타격 가능</t>
  </si>
  <si>
    <t>타격 지점 균열 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</si>
</sst>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1" fillId="10" borderId="10" xfId="0" applyFont="1" applyFill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5" t="s">
        <v>0</v>
      </c>
      <c r="C2" s="36"/>
      <c r="D2" s="37"/>
      <c r="F2" s="3"/>
      <c r="G2" s="3"/>
      <c r="H2" s="3"/>
    </row>
    <row r="3" spans="2:8" x14ac:dyDescent="0.3">
      <c r="B3" s="38" t="s">
        <v>7</v>
      </c>
      <c r="C3" s="39"/>
      <c r="D3" s="40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51"/>
  <sheetViews>
    <sheetView topLeftCell="J10" workbookViewId="0">
      <selection activeCell="O57" sqref="O57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1064</v>
      </c>
      <c r="X2" s="38" t="s">
        <v>84</v>
      </c>
      <c r="Y2" s="39"/>
      <c r="Z2" s="40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8" t="s">
        <v>72</v>
      </c>
      <c r="AC3" s="41"/>
      <c r="AD3" s="11"/>
      <c r="AE3" s="42" t="s">
        <v>108</v>
      </c>
      <c r="AF3" s="42"/>
      <c r="AG3" s="42"/>
    </row>
    <row r="4" spans="1:33" x14ac:dyDescent="0.3">
      <c r="A4" s="6">
        <v>103</v>
      </c>
      <c r="B4" s="6" t="s">
        <v>409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951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3" t="s">
        <v>76</v>
      </c>
      <c r="AF4" s="44"/>
      <c r="AG4" s="9" t="s">
        <v>75</v>
      </c>
    </row>
    <row r="5" spans="1:33" x14ac:dyDescent="0.3">
      <c r="A5" s="6">
        <v>104</v>
      </c>
      <c r="B5" s="6" t="s">
        <v>408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952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410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411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303</v>
      </c>
      <c r="U7" s="24" t="s">
        <v>953</v>
      </c>
      <c r="X7" s="2" t="s">
        <v>71</v>
      </c>
      <c r="Y7" s="6" t="s">
        <v>93</v>
      </c>
      <c r="Z7" s="6" t="s">
        <v>88</v>
      </c>
      <c r="AB7" s="38" t="s">
        <v>102</v>
      </c>
      <c r="AC7" s="41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412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954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955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8" t="s">
        <v>79</v>
      </c>
      <c r="AF9" s="41"/>
    </row>
    <row r="10" spans="1:33" x14ac:dyDescent="0.3">
      <c r="A10" s="6">
        <v>109</v>
      </c>
      <c r="B10" s="6" t="s">
        <v>413</v>
      </c>
      <c r="C10" s="6" t="s">
        <v>1050</v>
      </c>
      <c r="D10" s="6" t="s">
        <v>1051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956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414</v>
      </c>
      <c r="C11" s="6" t="s">
        <v>1053</v>
      </c>
      <c r="D11" s="6" t="s">
        <v>1052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957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958</v>
      </c>
      <c r="X12" s="2" t="s">
        <v>76</v>
      </c>
      <c r="Y12" s="6" t="s">
        <v>106</v>
      </c>
      <c r="Z12" s="6" t="s">
        <v>100</v>
      </c>
      <c r="AB12" s="38" t="s">
        <v>77</v>
      </c>
      <c r="AC12" s="41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959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1058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960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8" t="s">
        <v>80</v>
      </c>
      <c r="AF14" s="41"/>
    </row>
    <row r="15" spans="1:33" x14ac:dyDescent="0.3">
      <c r="A15" s="6">
        <v>114</v>
      </c>
      <c r="B15" s="6" t="s">
        <v>1059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961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962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963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964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965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966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967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415</v>
      </c>
      <c r="C22" s="6" t="s">
        <v>1054</v>
      </c>
      <c r="D22" s="6" t="s">
        <v>1056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968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416</v>
      </c>
      <c r="C23" s="6" t="s">
        <v>1055</v>
      </c>
      <c r="D23" s="6" t="s">
        <v>1057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969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899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6">
        <v>112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970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900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6">
        <v>112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971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901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6">
        <v>112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972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973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974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975</v>
      </c>
    </row>
    <row r="30" spans="1:32" x14ac:dyDescent="0.3">
      <c r="A30" s="6">
        <v>129</v>
      </c>
      <c r="B30" s="6" t="s">
        <v>399</v>
      </c>
      <c r="C30" s="6" t="s">
        <v>400</v>
      </c>
      <c r="D30" s="6" t="s">
        <v>401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6">
        <v>0</v>
      </c>
      <c r="R30" s="22">
        <v>0</v>
      </c>
      <c r="S30" s="22">
        <v>0</v>
      </c>
      <c r="T30" s="24" t="s">
        <v>332</v>
      </c>
      <c r="U30" s="24" t="s">
        <v>976</v>
      </c>
    </row>
    <row r="31" spans="1:32" x14ac:dyDescent="0.3">
      <c r="A31" s="6">
        <v>130</v>
      </c>
      <c r="B31" s="6" t="s">
        <v>402</v>
      </c>
      <c r="C31" s="6" t="s">
        <v>403</v>
      </c>
      <c r="D31" s="6" t="s">
        <v>404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6">
        <v>0</v>
      </c>
      <c r="R31" s="22">
        <v>0</v>
      </c>
      <c r="S31" s="22">
        <v>0</v>
      </c>
      <c r="T31" s="24" t="s">
        <v>332</v>
      </c>
      <c r="U31" s="24" t="s">
        <v>977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978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979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6">
        <v>0</v>
      </c>
      <c r="R34" s="22">
        <v>0</v>
      </c>
      <c r="S34" s="22">
        <v>0</v>
      </c>
      <c r="T34" s="24" t="s">
        <v>335</v>
      </c>
      <c r="U34" s="24" t="s">
        <v>980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6">
        <v>0</v>
      </c>
      <c r="R35" s="22">
        <v>0</v>
      </c>
      <c r="S35" s="22">
        <v>0</v>
      </c>
      <c r="T35" s="24" t="s">
        <v>335</v>
      </c>
      <c r="U35" s="24" t="s">
        <v>981</v>
      </c>
    </row>
    <row r="36" spans="1:21" x14ac:dyDescent="0.3">
      <c r="A36" s="6">
        <v>135</v>
      </c>
      <c r="B36" s="6" t="s">
        <v>1085</v>
      </c>
      <c r="C36" s="6" t="s">
        <v>1086</v>
      </c>
      <c r="D36" s="6" t="s">
        <v>1087</v>
      </c>
      <c r="E36" s="15" t="s">
        <v>1062</v>
      </c>
      <c r="F36" s="15">
        <v>0</v>
      </c>
      <c r="G36" s="6">
        <v>1</v>
      </c>
      <c r="H36" s="6">
        <v>3</v>
      </c>
      <c r="I36" s="6">
        <v>1</v>
      </c>
      <c r="J36" s="6" t="s">
        <v>1088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1069</v>
      </c>
      <c r="U36" s="24" t="s">
        <v>1107</v>
      </c>
    </row>
    <row r="37" spans="1:21" x14ac:dyDescent="0.3">
      <c r="A37" s="6">
        <v>136</v>
      </c>
      <c r="B37" s="6" t="s">
        <v>1088</v>
      </c>
      <c r="C37" s="6" t="s">
        <v>1089</v>
      </c>
      <c r="D37" s="6" t="s">
        <v>1090</v>
      </c>
      <c r="E37" s="15" t="s">
        <v>1063</v>
      </c>
      <c r="F37" s="15">
        <v>0</v>
      </c>
      <c r="G37" s="6">
        <v>1</v>
      </c>
      <c r="H37" s="6">
        <v>3</v>
      </c>
      <c r="I37" s="6">
        <v>2</v>
      </c>
      <c r="J37" s="6" t="s">
        <v>1085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1069</v>
      </c>
      <c r="U37" s="24" t="s">
        <v>1072</v>
      </c>
    </row>
    <row r="38" spans="1:21" x14ac:dyDescent="0.3">
      <c r="A38" s="6">
        <v>137</v>
      </c>
      <c r="B38" s="6" t="s">
        <v>1091</v>
      </c>
      <c r="C38" s="6" t="s">
        <v>1092</v>
      </c>
      <c r="D38" s="6" t="s">
        <v>1093</v>
      </c>
      <c r="E38" s="15" t="s">
        <v>1079</v>
      </c>
      <c r="F38" s="15">
        <v>0</v>
      </c>
      <c r="G38" s="6">
        <v>1</v>
      </c>
      <c r="H38" s="6">
        <v>3</v>
      </c>
      <c r="I38" s="6">
        <v>1</v>
      </c>
      <c r="J38" s="6" t="s">
        <v>1094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1068</v>
      </c>
      <c r="U38" s="24" t="s">
        <v>1073</v>
      </c>
    </row>
    <row r="39" spans="1:21" x14ac:dyDescent="0.3">
      <c r="A39" s="6">
        <v>138</v>
      </c>
      <c r="B39" s="6" t="s">
        <v>1094</v>
      </c>
      <c r="C39" s="6" t="s">
        <v>1095</v>
      </c>
      <c r="D39" s="6" t="s">
        <v>1096</v>
      </c>
      <c r="E39" s="15" t="s">
        <v>1080</v>
      </c>
      <c r="F39" s="15">
        <v>0</v>
      </c>
      <c r="G39" s="6">
        <v>1</v>
      </c>
      <c r="H39" s="6">
        <v>3</v>
      </c>
      <c r="I39" s="6">
        <v>2</v>
      </c>
      <c r="J39" s="6" t="s">
        <v>1091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1065</v>
      </c>
      <c r="U39" s="24" t="s">
        <v>1074</v>
      </c>
    </row>
    <row r="40" spans="1:21" x14ac:dyDescent="0.3">
      <c r="A40" s="6">
        <v>139</v>
      </c>
      <c r="B40" s="6" t="s">
        <v>1097</v>
      </c>
      <c r="C40" s="6" t="s">
        <v>1098</v>
      </c>
      <c r="D40" s="6" t="s">
        <v>1099</v>
      </c>
      <c r="E40" s="15" t="s">
        <v>1081</v>
      </c>
      <c r="F40" s="15">
        <v>0</v>
      </c>
      <c r="G40" s="6">
        <v>1</v>
      </c>
      <c r="H40" s="6">
        <v>3</v>
      </c>
      <c r="I40" s="6">
        <v>1</v>
      </c>
      <c r="J40" s="6" t="s">
        <v>1100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1066</v>
      </c>
      <c r="U40" s="24" t="s">
        <v>1075</v>
      </c>
    </row>
    <row r="41" spans="1:21" x14ac:dyDescent="0.3">
      <c r="A41" s="6">
        <v>140</v>
      </c>
      <c r="B41" s="6" t="s">
        <v>1100</v>
      </c>
      <c r="C41" s="6" t="s">
        <v>1101</v>
      </c>
      <c r="D41" s="6" t="s">
        <v>1102</v>
      </c>
      <c r="E41" s="15" t="s">
        <v>1082</v>
      </c>
      <c r="F41" s="15">
        <v>0</v>
      </c>
      <c r="G41" s="6">
        <v>1</v>
      </c>
      <c r="H41" s="6">
        <v>3</v>
      </c>
      <c r="I41" s="6">
        <v>2</v>
      </c>
      <c r="J41" s="6" t="s">
        <v>1097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1067</v>
      </c>
      <c r="U41" s="24" t="s">
        <v>1076</v>
      </c>
    </row>
    <row r="42" spans="1:21" x14ac:dyDescent="0.3">
      <c r="A42" s="6">
        <v>141</v>
      </c>
      <c r="B42" s="6" t="s">
        <v>1103</v>
      </c>
      <c r="C42" s="6" t="s">
        <v>1104</v>
      </c>
      <c r="D42" s="6" t="s">
        <v>1105</v>
      </c>
      <c r="E42" s="15" t="s">
        <v>1083</v>
      </c>
      <c r="F42" s="15">
        <v>0</v>
      </c>
      <c r="G42" s="6">
        <v>1</v>
      </c>
      <c r="H42" s="6">
        <v>3</v>
      </c>
      <c r="I42" s="6">
        <v>1</v>
      </c>
      <c r="J42" s="6" t="s">
        <v>1106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1070</v>
      </c>
      <c r="U42" s="24" t="s">
        <v>1077</v>
      </c>
    </row>
    <row r="43" spans="1:21" x14ac:dyDescent="0.3">
      <c r="A43" s="6">
        <v>142</v>
      </c>
      <c r="B43" s="6" t="s">
        <v>1106</v>
      </c>
      <c r="C43" s="6" t="s">
        <v>1161</v>
      </c>
      <c r="D43" s="6" t="s">
        <v>1164</v>
      </c>
      <c r="E43" s="15" t="s">
        <v>1084</v>
      </c>
      <c r="F43" s="15">
        <v>0</v>
      </c>
      <c r="G43" s="6">
        <v>1</v>
      </c>
      <c r="H43" s="6">
        <v>3</v>
      </c>
      <c r="I43" s="6">
        <v>2</v>
      </c>
      <c r="J43" s="6" t="s">
        <v>1103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1071</v>
      </c>
      <c r="U43" s="24" t="s">
        <v>1078</v>
      </c>
    </row>
    <row r="44" spans="1:21" x14ac:dyDescent="0.3">
      <c r="A44" s="6">
        <v>143</v>
      </c>
      <c r="B44" s="6" t="s">
        <v>1162</v>
      </c>
      <c r="C44" s="6" t="s">
        <v>1163</v>
      </c>
      <c r="D44" s="6" t="s">
        <v>1165</v>
      </c>
      <c r="E44" s="15">
        <v>0</v>
      </c>
      <c r="F44" s="15">
        <v>0</v>
      </c>
      <c r="G44" s="6">
        <v>1</v>
      </c>
      <c r="H44" s="6">
        <v>3</v>
      </c>
      <c r="I44" s="6">
        <v>1</v>
      </c>
      <c r="J44" s="6" t="s">
        <v>1166</v>
      </c>
      <c r="K44" s="6">
        <v>1</v>
      </c>
      <c r="L44" s="6">
        <v>1</v>
      </c>
      <c r="M44" s="21">
        <v>957</v>
      </c>
      <c r="N44" s="6">
        <v>0</v>
      </c>
      <c r="O44" s="6">
        <v>103</v>
      </c>
      <c r="P44" s="6">
        <v>0</v>
      </c>
      <c r="Q44" s="6">
        <v>0</v>
      </c>
      <c r="R44" s="22">
        <v>0</v>
      </c>
      <c r="S44" s="22">
        <v>0</v>
      </c>
      <c r="T44" s="24" t="s">
        <v>334</v>
      </c>
      <c r="U44" s="24" t="s">
        <v>1064</v>
      </c>
    </row>
    <row r="45" spans="1:21" x14ac:dyDescent="0.3">
      <c r="A45" s="6">
        <v>144</v>
      </c>
      <c r="B45" s="6" t="s">
        <v>1166</v>
      </c>
      <c r="C45" s="6" t="s">
        <v>1167</v>
      </c>
      <c r="D45" s="6" t="s">
        <v>1168</v>
      </c>
      <c r="E45" s="15">
        <v>0</v>
      </c>
      <c r="F45" s="15">
        <v>0</v>
      </c>
      <c r="G45" s="6">
        <v>1</v>
      </c>
      <c r="H45" s="6">
        <v>3</v>
      </c>
      <c r="I45" s="6">
        <v>2</v>
      </c>
      <c r="J45" s="6" t="s">
        <v>1162</v>
      </c>
      <c r="K45" s="6">
        <v>1</v>
      </c>
      <c r="L45" s="6">
        <v>1</v>
      </c>
      <c r="M45" s="21">
        <v>32</v>
      </c>
      <c r="N45" s="6">
        <v>0</v>
      </c>
      <c r="O45" s="6">
        <v>104</v>
      </c>
      <c r="P45" s="6">
        <v>0</v>
      </c>
      <c r="Q45" s="6">
        <v>0</v>
      </c>
      <c r="R45" s="22">
        <v>0</v>
      </c>
      <c r="S45" s="22">
        <v>0</v>
      </c>
      <c r="T45" s="24" t="s">
        <v>334</v>
      </c>
      <c r="U45" s="24" t="s">
        <v>1064</v>
      </c>
    </row>
    <row r="46" spans="1:21" x14ac:dyDescent="0.3">
      <c r="A46" s="6">
        <v>145</v>
      </c>
      <c r="B46" s="6" t="s">
        <v>1169</v>
      </c>
      <c r="C46" s="6" t="s">
        <v>1170</v>
      </c>
      <c r="D46" s="6" t="s">
        <v>1171</v>
      </c>
      <c r="E46" s="15">
        <v>0</v>
      </c>
      <c r="F46" s="15">
        <v>0</v>
      </c>
      <c r="G46" s="6">
        <v>1</v>
      </c>
      <c r="H46" s="6">
        <v>3</v>
      </c>
      <c r="I46" s="6">
        <v>1</v>
      </c>
      <c r="J46" s="6" t="s">
        <v>1172</v>
      </c>
      <c r="K46" s="6">
        <v>1</v>
      </c>
      <c r="L46" s="6">
        <v>1</v>
      </c>
      <c r="M46" s="21">
        <v>32</v>
      </c>
      <c r="N46" s="6">
        <v>0</v>
      </c>
      <c r="O46" s="6">
        <v>106</v>
      </c>
      <c r="P46" s="6">
        <v>0</v>
      </c>
      <c r="Q46" s="6">
        <v>0</v>
      </c>
      <c r="R46" s="22">
        <v>0</v>
      </c>
      <c r="S46" s="22">
        <v>0</v>
      </c>
      <c r="T46" s="24" t="s">
        <v>334</v>
      </c>
      <c r="U46" s="24" t="s">
        <v>1064</v>
      </c>
    </row>
    <row r="47" spans="1:21" x14ac:dyDescent="0.3">
      <c r="A47" s="6">
        <v>146</v>
      </c>
      <c r="B47" s="6" t="s">
        <v>1172</v>
      </c>
      <c r="C47" s="6" t="s">
        <v>1173</v>
      </c>
      <c r="D47" s="6" t="s">
        <v>1174</v>
      </c>
      <c r="E47" s="15">
        <v>0</v>
      </c>
      <c r="F47" s="15">
        <v>0</v>
      </c>
      <c r="G47" s="6">
        <v>1</v>
      </c>
      <c r="H47" s="6">
        <v>3</v>
      </c>
      <c r="I47" s="6">
        <v>2</v>
      </c>
      <c r="J47" s="6" t="s">
        <v>1169</v>
      </c>
      <c r="K47" s="6">
        <v>1</v>
      </c>
      <c r="L47" s="6">
        <v>1</v>
      </c>
      <c r="M47" s="21">
        <v>32</v>
      </c>
      <c r="N47" s="6">
        <v>0</v>
      </c>
      <c r="O47" s="6">
        <v>111</v>
      </c>
      <c r="P47" s="6">
        <v>107</v>
      </c>
      <c r="Q47" s="6">
        <v>0</v>
      </c>
      <c r="R47" s="22">
        <v>0</v>
      </c>
      <c r="S47" s="22">
        <v>0</v>
      </c>
      <c r="T47" s="24" t="s">
        <v>334</v>
      </c>
      <c r="U47" s="24" t="s">
        <v>1064</v>
      </c>
    </row>
    <row r="48" spans="1:21" x14ac:dyDescent="0.3">
      <c r="A48" s="6">
        <v>147</v>
      </c>
      <c r="B48" s="6" t="s">
        <v>1175</v>
      </c>
      <c r="C48" s="6" t="s">
        <v>1176</v>
      </c>
      <c r="D48" s="6" t="s">
        <v>1177</v>
      </c>
      <c r="E48" s="15">
        <v>0</v>
      </c>
      <c r="F48" s="15">
        <v>0</v>
      </c>
      <c r="G48" s="6">
        <v>1</v>
      </c>
      <c r="H48" s="6">
        <v>3</v>
      </c>
      <c r="I48" s="6">
        <v>1</v>
      </c>
      <c r="J48" s="6" t="s">
        <v>1178</v>
      </c>
      <c r="K48" s="6">
        <v>1</v>
      </c>
      <c r="L48" s="6">
        <v>1</v>
      </c>
      <c r="M48" s="21">
        <v>32</v>
      </c>
      <c r="N48" s="6">
        <v>0</v>
      </c>
      <c r="O48" s="6">
        <v>108</v>
      </c>
      <c r="P48" s="6">
        <v>0</v>
      </c>
      <c r="Q48" s="6">
        <v>0</v>
      </c>
      <c r="R48" s="22">
        <v>0</v>
      </c>
      <c r="S48" s="22">
        <v>0</v>
      </c>
      <c r="T48" s="24" t="s">
        <v>334</v>
      </c>
      <c r="U48" s="24" t="s">
        <v>1064</v>
      </c>
    </row>
    <row r="49" spans="1:21" x14ac:dyDescent="0.3">
      <c r="A49" s="6">
        <v>148</v>
      </c>
      <c r="B49" s="6" t="s">
        <v>1178</v>
      </c>
      <c r="C49" s="6" t="s">
        <v>1179</v>
      </c>
      <c r="D49" s="6" t="s">
        <v>1180</v>
      </c>
      <c r="E49" s="15">
        <v>0</v>
      </c>
      <c r="F49" s="15">
        <v>0</v>
      </c>
      <c r="G49" s="6">
        <v>1</v>
      </c>
      <c r="H49" s="6">
        <v>3</v>
      </c>
      <c r="I49" s="6">
        <v>2</v>
      </c>
      <c r="J49" s="6" t="s">
        <v>1175</v>
      </c>
      <c r="K49" s="6">
        <v>1</v>
      </c>
      <c r="L49" s="6">
        <v>1</v>
      </c>
      <c r="M49" s="21">
        <v>32</v>
      </c>
      <c r="N49" s="6">
        <v>0</v>
      </c>
      <c r="O49" s="6">
        <v>109</v>
      </c>
      <c r="P49" s="6">
        <v>0</v>
      </c>
      <c r="Q49" s="6">
        <v>0</v>
      </c>
      <c r="R49" s="22">
        <v>0</v>
      </c>
      <c r="S49" s="22">
        <v>0</v>
      </c>
      <c r="T49" s="24" t="s">
        <v>334</v>
      </c>
      <c r="U49" s="24" t="s">
        <v>1064</v>
      </c>
    </row>
    <row r="50" spans="1:21" x14ac:dyDescent="0.3">
      <c r="A50" s="6">
        <v>149</v>
      </c>
      <c r="B50" s="6" t="s">
        <v>1181</v>
      </c>
      <c r="C50" s="6" t="s">
        <v>1182</v>
      </c>
      <c r="D50" s="6" t="s">
        <v>1183</v>
      </c>
      <c r="E50" s="15">
        <v>0</v>
      </c>
      <c r="F50" s="15">
        <v>0</v>
      </c>
      <c r="G50" s="6">
        <v>1</v>
      </c>
      <c r="H50" s="6">
        <v>3</v>
      </c>
      <c r="I50" s="6">
        <v>1</v>
      </c>
      <c r="J50" s="6" t="s">
        <v>1184</v>
      </c>
      <c r="K50" s="6">
        <v>1</v>
      </c>
      <c r="L50" s="6">
        <v>1</v>
      </c>
      <c r="M50" s="21">
        <v>32</v>
      </c>
      <c r="N50" s="6">
        <v>0</v>
      </c>
      <c r="O50" s="6">
        <v>110</v>
      </c>
      <c r="P50" s="6">
        <v>0</v>
      </c>
      <c r="Q50" s="6">
        <v>0</v>
      </c>
      <c r="R50" s="22">
        <v>0</v>
      </c>
      <c r="S50" s="22">
        <v>0</v>
      </c>
      <c r="T50" s="24" t="s">
        <v>334</v>
      </c>
      <c r="U50" s="24" t="s">
        <v>1064</v>
      </c>
    </row>
    <row r="51" spans="1:21" x14ac:dyDescent="0.3">
      <c r="A51" s="6">
        <v>150</v>
      </c>
      <c r="B51" s="6" t="s">
        <v>1184</v>
      </c>
      <c r="C51" s="6" t="s">
        <v>1185</v>
      </c>
      <c r="D51" s="6" t="s">
        <v>1186</v>
      </c>
      <c r="E51" s="15">
        <v>0</v>
      </c>
      <c r="F51" s="15">
        <v>0</v>
      </c>
      <c r="G51" s="6">
        <v>1</v>
      </c>
      <c r="H51" s="6">
        <v>3</v>
      </c>
      <c r="I51" s="6">
        <v>2</v>
      </c>
      <c r="J51" s="6" t="s">
        <v>1181</v>
      </c>
      <c r="K51" s="6">
        <v>1</v>
      </c>
      <c r="L51" s="6">
        <v>1</v>
      </c>
      <c r="M51" s="21">
        <v>32</v>
      </c>
      <c r="N51" s="6">
        <v>0</v>
      </c>
      <c r="O51" s="6">
        <v>112</v>
      </c>
      <c r="P51" s="6">
        <v>0</v>
      </c>
      <c r="Q51" s="6">
        <v>0</v>
      </c>
      <c r="R51" s="22">
        <v>0</v>
      </c>
      <c r="S51" s="22">
        <v>0</v>
      </c>
      <c r="T51" s="24" t="s">
        <v>334</v>
      </c>
      <c r="U51" s="24" t="s">
        <v>1064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6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  <row r="36" spans="1:24" x14ac:dyDescent="0.3">
      <c r="C36" s="3">
        <f t="shared" ref="C36" si="22">SUM(O36:X36)</f>
        <v>957</v>
      </c>
      <c r="D36" s="3" t="b">
        <v>1</v>
      </c>
      <c r="E36" s="3">
        <v>0</v>
      </c>
      <c r="F36" s="3" t="b">
        <v>1</v>
      </c>
      <c r="G36" s="3" t="b">
        <v>1</v>
      </c>
      <c r="H36" s="3" t="b">
        <v>1</v>
      </c>
      <c r="I36" s="3" t="b">
        <v>1</v>
      </c>
      <c r="J36" s="3">
        <v>0</v>
      </c>
      <c r="K36" s="3" t="b">
        <v>1</v>
      </c>
      <c r="L36" s="3" t="b">
        <v>1</v>
      </c>
      <c r="M36" s="3" t="b">
        <v>1</v>
      </c>
      <c r="O36" s="2">
        <f t="shared" ref="O36" si="23">IF(D36&lt;&gt;0,2^(O$1-1),0)</f>
        <v>1</v>
      </c>
      <c r="P36" s="2">
        <f t="shared" ref="P36" si="24">IF(E36&lt;&gt;0,2^(P$1-1),0)</f>
        <v>0</v>
      </c>
      <c r="Q36" s="2">
        <f t="shared" ref="Q36" si="25">IF(F36&lt;&gt;0,2^(Q$1-1),0)</f>
        <v>4</v>
      </c>
      <c r="R36" s="2">
        <f t="shared" ref="R36" si="26">IF(G36&lt;&gt;0,2^(R$1-1),0)</f>
        <v>8</v>
      </c>
      <c r="S36" s="2">
        <f t="shared" ref="S36" si="27">IF(H36&lt;&gt;0,2^(S$1-1),0)</f>
        <v>16</v>
      </c>
      <c r="T36" s="2">
        <f t="shared" ref="T36" si="28">IF(I36&lt;&gt;0,2^(T$1-1),0)</f>
        <v>32</v>
      </c>
      <c r="U36" s="2">
        <f t="shared" ref="U36" si="29">IF(J36&lt;&gt;0,2^(U$1-1),0)</f>
        <v>0</v>
      </c>
      <c r="V36" s="2">
        <f t="shared" ref="V36" si="30">IF(K36&lt;&gt;0,2^(V$1-1),0)</f>
        <v>128</v>
      </c>
      <c r="W36" s="2">
        <f t="shared" ref="W36" si="31">IF(L36&lt;&gt;0,2^(W$1-1),0)</f>
        <v>256</v>
      </c>
      <c r="X36" s="2">
        <f t="shared" ref="X36" si="32">IF(M36&lt;&gt;0,2^(X$1-1),0)</f>
        <v>512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740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417</v>
      </c>
      <c r="C2" s="6" t="s">
        <v>418</v>
      </c>
      <c r="D2" s="6" t="s">
        <v>741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8" t="s">
        <v>322</v>
      </c>
      <c r="AE2" s="39"/>
      <c r="AF2" s="40"/>
    </row>
    <row r="3" spans="1:32" x14ac:dyDescent="0.3">
      <c r="A3" s="6" t="s">
        <v>1060</v>
      </c>
      <c r="B3" s="6" t="s">
        <v>419</v>
      </c>
      <c r="C3" s="6" t="s">
        <v>420</v>
      </c>
      <c r="D3" s="6" t="s">
        <v>742</v>
      </c>
      <c r="E3" s="7" t="s">
        <v>1061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421</v>
      </c>
      <c r="C4" s="6" t="s">
        <v>422</v>
      </c>
      <c r="D4" s="6" t="s">
        <v>743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423</v>
      </c>
      <c r="C5" s="6" t="s">
        <v>424</v>
      </c>
      <c r="D5" s="6" t="s">
        <v>744</v>
      </c>
      <c r="E5" s="7" t="s">
        <v>739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425</v>
      </c>
      <c r="C6" s="6" t="s">
        <v>426</v>
      </c>
      <c r="D6" s="6" t="s">
        <v>745</v>
      </c>
      <c r="E6" s="7" t="s">
        <v>738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427</v>
      </c>
      <c r="C7" s="6" t="s">
        <v>428</v>
      </c>
      <c r="D7" s="6" t="s">
        <v>746</v>
      </c>
      <c r="E7" s="7" t="s">
        <v>737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429</v>
      </c>
      <c r="C8" s="6" t="s">
        <v>430</v>
      </c>
      <c r="D8" s="6" t="s">
        <v>747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431</v>
      </c>
      <c r="C9" s="6" t="s">
        <v>432</v>
      </c>
      <c r="D9" s="6" t="s">
        <v>748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433</v>
      </c>
      <c r="C10" s="6" t="s">
        <v>434</v>
      </c>
      <c r="D10" s="6" t="s">
        <v>749</v>
      </c>
      <c r="E10" s="7" t="s">
        <v>736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435</v>
      </c>
      <c r="C11" s="6" t="s">
        <v>436</v>
      </c>
      <c r="D11" s="6" t="s">
        <v>750</v>
      </c>
      <c r="E11" s="7" t="s">
        <v>735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437</v>
      </c>
      <c r="C12" s="6" t="s">
        <v>438</v>
      </c>
      <c r="D12" s="6" t="s">
        <v>751</v>
      </c>
      <c r="E12" s="7" t="s">
        <v>905</v>
      </c>
      <c r="F12" s="7" t="s">
        <v>820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439</v>
      </c>
      <c r="C13" s="6" t="s">
        <v>440</v>
      </c>
      <c r="D13" s="6" t="s">
        <v>752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441</v>
      </c>
      <c r="C14" s="6" t="s">
        <v>442</v>
      </c>
      <c r="D14" s="6" t="s">
        <v>753</v>
      </c>
      <c r="E14" s="7" t="s">
        <v>734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443</v>
      </c>
      <c r="C15" s="6" t="s">
        <v>444</v>
      </c>
      <c r="D15" s="6" t="s">
        <v>754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445</v>
      </c>
      <c r="C16" s="6" t="s">
        <v>446</v>
      </c>
      <c r="D16" s="6" t="s">
        <v>755</v>
      </c>
      <c r="E16" s="7" t="s">
        <v>733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447</v>
      </c>
      <c r="C17" s="6" t="s">
        <v>448</v>
      </c>
      <c r="D17" s="6" t="s">
        <v>756</v>
      </c>
      <c r="E17" s="7" t="s">
        <v>906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449</v>
      </c>
      <c r="C18" s="6" t="s">
        <v>450</v>
      </c>
      <c r="D18" s="6" t="s">
        <v>757</v>
      </c>
      <c r="E18" s="7" t="s">
        <v>732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451</v>
      </c>
      <c r="C19" s="6" t="s">
        <v>452</v>
      </c>
      <c r="D19" s="6" t="s">
        <v>758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453</v>
      </c>
      <c r="C20" s="6" t="s">
        <v>454</v>
      </c>
      <c r="D20" s="6" t="s">
        <v>759</v>
      </c>
      <c r="E20" s="7" t="s">
        <v>731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455</v>
      </c>
      <c r="C21" s="6" t="s">
        <v>456</v>
      </c>
      <c r="D21" s="6" t="s">
        <v>760</v>
      </c>
      <c r="E21" s="7" t="s">
        <v>730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457</v>
      </c>
      <c r="C22" s="6" t="s">
        <v>458</v>
      </c>
      <c r="D22" s="6" t="s">
        <v>761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459</v>
      </c>
      <c r="C23" s="6" t="s">
        <v>460</v>
      </c>
      <c r="D23" s="6" t="s">
        <v>762</v>
      </c>
      <c r="E23" s="7" t="s">
        <v>907</v>
      </c>
      <c r="F23" s="7" t="s">
        <v>728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725</v>
      </c>
      <c r="B24" s="6" t="s">
        <v>726</v>
      </c>
      <c r="C24" s="6" t="s">
        <v>727</v>
      </c>
      <c r="D24" s="6" t="s">
        <v>763</v>
      </c>
      <c r="E24" s="7" t="s">
        <v>908</v>
      </c>
      <c r="F24" s="7" t="s">
        <v>729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461</v>
      </c>
      <c r="C25" s="6" t="s">
        <v>462</v>
      </c>
      <c r="D25" s="6" t="s">
        <v>764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463</v>
      </c>
      <c r="C26" s="6" t="s">
        <v>464</v>
      </c>
      <c r="D26" s="6" t="s">
        <v>765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465</v>
      </c>
      <c r="C27" s="6" t="s">
        <v>466</v>
      </c>
      <c r="D27" s="6" t="s">
        <v>766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467</v>
      </c>
      <c r="C28" s="6" t="s">
        <v>468</v>
      </c>
      <c r="D28" s="6" t="s">
        <v>767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469</v>
      </c>
      <c r="C29" s="6" t="s">
        <v>470</v>
      </c>
      <c r="D29" s="6" t="s">
        <v>768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471</v>
      </c>
      <c r="C30" s="6" t="s">
        <v>472</v>
      </c>
      <c r="D30" s="6" t="s">
        <v>769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473</v>
      </c>
      <c r="C31" s="6" t="s">
        <v>474</v>
      </c>
      <c r="D31" s="6" t="s">
        <v>770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475</v>
      </c>
      <c r="C32" s="6" t="s">
        <v>476</v>
      </c>
      <c r="D32" s="6" t="s">
        <v>771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477</v>
      </c>
      <c r="C33" s="6" t="s">
        <v>478</v>
      </c>
      <c r="D33" s="6" t="s">
        <v>772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479</v>
      </c>
      <c r="C34" s="6" t="s">
        <v>480</v>
      </c>
      <c r="D34" s="6" t="s">
        <v>773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481</v>
      </c>
      <c r="C35" s="6" t="s">
        <v>482</v>
      </c>
      <c r="D35" s="6" t="s">
        <v>774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483</v>
      </c>
      <c r="C36" s="6" t="s">
        <v>484</v>
      </c>
      <c r="D36" s="6" t="s">
        <v>775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485</v>
      </c>
      <c r="C37" s="6" t="s">
        <v>486</v>
      </c>
      <c r="D37" s="6" t="s">
        <v>776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492</v>
      </c>
      <c r="B38" s="6" t="s">
        <v>496</v>
      </c>
      <c r="C38" s="6" t="s">
        <v>497</v>
      </c>
      <c r="D38" s="6" t="s">
        <v>777</v>
      </c>
      <c r="E38" s="7" t="s">
        <v>487</v>
      </c>
      <c r="F38" s="7" t="s">
        <v>491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493</v>
      </c>
      <c r="B39" s="6" t="s">
        <v>498</v>
      </c>
      <c r="C39" s="6" t="s">
        <v>499</v>
      </c>
      <c r="D39" s="6" t="s">
        <v>778</v>
      </c>
      <c r="E39" s="7" t="s">
        <v>488</v>
      </c>
      <c r="F39" s="7" t="s">
        <v>504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494</v>
      </c>
      <c r="B40" s="6" t="s">
        <v>500</v>
      </c>
      <c r="C40" s="6" t="s">
        <v>501</v>
      </c>
      <c r="D40" s="6" t="s">
        <v>779</v>
      </c>
      <c r="E40" s="7" t="s">
        <v>489</v>
      </c>
      <c r="F40" s="7" t="s">
        <v>505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495</v>
      </c>
      <c r="B41" s="6" t="s">
        <v>502</v>
      </c>
      <c r="C41" s="6" t="s">
        <v>503</v>
      </c>
      <c r="D41" s="6" t="s">
        <v>780</v>
      </c>
      <c r="E41" s="7" t="s">
        <v>490</v>
      </c>
      <c r="F41" s="7" t="s">
        <v>506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521</v>
      </c>
      <c r="B42" s="6" t="s">
        <v>522</v>
      </c>
      <c r="C42" s="6" t="s">
        <v>523</v>
      </c>
      <c r="D42" s="6" t="s">
        <v>781</v>
      </c>
      <c r="E42" s="7" t="s">
        <v>508</v>
      </c>
      <c r="F42" s="7" t="s">
        <v>667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524</v>
      </c>
      <c r="B43" s="6" t="s">
        <v>525</v>
      </c>
      <c r="C43" s="6" t="s">
        <v>526</v>
      </c>
      <c r="D43" s="6" t="s">
        <v>782</v>
      </c>
      <c r="E43" s="7" t="s">
        <v>509</v>
      </c>
      <c r="F43" s="7" t="s">
        <v>668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527</v>
      </c>
      <c r="B44" s="6" t="s">
        <v>528</v>
      </c>
      <c r="C44" s="6" t="s">
        <v>529</v>
      </c>
      <c r="D44" s="6" t="s">
        <v>783</v>
      </c>
      <c r="E44" s="7" t="s">
        <v>510</v>
      </c>
      <c r="F44" s="7" t="s">
        <v>669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530</v>
      </c>
      <c r="B45" s="6" t="s">
        <v>531</v>
      </c>
      <c r="C45" s="6" t="s">
        <v>532</v>
      </c>
      <c r="D45" s="6" t="s">
        <v>784</v>
      </c>
      <c r="E45" s="7" t="s">
        <v>507</v>
      </c>
      <c r="F45" s="7" t="s">
        <v>670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533</v>
      </c>
      <c r="B46" s="6" t="s">
        <v>534</v>
      </c>
      <c r="C46" s="6" t="s">
        <v>535</v>
      </c>
      <c r="D46" s="6" t="s">
        <v>785</v>
      </c>
      <c r="E46" s="7" t="s">
        <v>511</v>
      </c>
      <c r="F46" s="7" t="s">
        <v>671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536</v>
      </c>
      <c r="B47" s="6" t="s">
        <v>537</v>
      </c>
      <c r="C47" s="6" t="s">
        <v>538</v>
      </c>
      <c r="D47" s="6" t="s">
        <v>786</v>
      </c>
      <c r="E47" s="7" t="s">
        <v>512</v>
      </c>
      <c r="F47" s="7" t="s">
        <v>672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539</v>
      </c>
      <c r="B48" s="6" t="s">
        <v>540</v>
      </c>
      <c r="C48" s="6" t="s">
        <v>541</v>
      </c>
      <c r="D48" s="6" t="s">
        <v>787</v>
      </c>
      <c r="E48" s="7" t="s">
        <v>513</v>
      </c>
      <c r="F48" s="7" t="s">
        <v>673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542</v>
      </c>
      <c r="B49" s="6" t="s">
        <v>543</v>
      </c>
      <c r="C49" s="6" t="s">
        <v>544</v>
      </c>
      <c r="D49" s="6" t="s">
        <v>788</v>
      </c>
      <c r="E49" s="7" t="s">
        <v>514</v>
      </c>
      <c r="F49" s="7" t="s">
        <v>674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545</v>
      </c>
      <c r="B50" s="6" t="s">
        <v>546</v>
      </c>
      <c r="C50" s="6" t="s">
        <v>547</v>
      </c>
      <c r="D50" s="6" t="s">
        <v>789</v>
      </c>
      <c r="E50" s="7" t="s">
        <v>515</v>
      </c>
      <c r="F50" s="7" t="s">
        <v>675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548</v>
      </c>
      <c r="B51" s="6" t="s">
        <v>549</v>
      </c>
      <c r="C51" s="6" t="s">
        <v>550</v>
      </c>
      <c r="D51" s="6" t="s">
        <v>790</v>
      </c>
      <c r="E51" s="7" t="s">
        <v>516</v>
      </c>
      <c r="F51" s="7" t="s">
        <v>676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551</v>
      </c>
      <c r="B52" s="6" t="s">
        <v>552</v>
      </c>
      <c r="C52" s="6" t="s">
        <v>553</v>
      </c>
      <c r="D52" s="6" t="s">
        <v>791</v>
      </c>
      <c r="E52" s="7" t="s">
        <v>517</v>
      </c>
      <c r="F52" s="7" t="s">
        <v>677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554</v>
      </c>
      <c r="B53" s="6" t="s">
        <v>555</v>
      </c>
      <c r="C53" s="6" t="s">
        <v>556</v>
      </c>
      <c r="D53" s="6" t="s">
        <v>792</v>
      </c>
      <c r="E53" s="7" t="s">
        <v>518</v>
      </c>
      <c r="F53" s="7" t="s">
        <v>677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557</v>
      </c>
      <c r="B54" s="6" t="s">
        <v>558</v>
      </c>
      <c r="C54" s="6" t="s">
        <v>559</v>
      </c>
      <c r="D54" s="6" t="s">
        <v>793</v>
      </c>
      <c r="E54" s="7" t="s">
        <v>519</v>
      </c>
      <c r="F54" s="7" t="s">
        <v>678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560</v>
      </c>
      <c r="B55" s="6" t="s">
        <v>561</v>
      </c>
      <c r="C55" s="6" t="s">
        <v>562</v>
      </c>
      <c r="D55" s="6" t="s">
        <v>794</v>
      </c>
      <c r="E55" s="7" t="s">
        <v>520</v>
      </c>
      <c r="F55" s="7" t="s">
        <v>680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585</v>
      </c>
      <c r="B56" s="6" t="s">
        <v>586</v>
      </c>
      <c r="C56" s="6" t="s">
        <v>587</v>
      </c>
      <c r="D56" s="6" t="s">
        <v>795</v>
      </c>
      <c r="E56" s="7" t="s">
        <v>563</v>
      </c>
      <c r="F56" s="7" t="s">
        <v>679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588</v>
      </c>
      <c r="B57" s="6" t="s">
        <v>589</v>
      </c>
      <c r="C57" s="6" t="s">
        <v>590</v>
      </c>
      <c r="D57" s="6" t="s">
        <v>796</v>
      </c>
      <c r="E57" s="7" t="s">
        <v>564</v>
      </c>
      <c r="F57" s="7" t="s">
        <v>681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591</v>
      </c>
      <c r="B58" s="6" t="s">
        <v>592</v>
      </c>
      <c r="C58" s="6" t="s">
        <v>593</v>
      </c>
      <c r="D58" s="6" t="s">
        <v>797</v>
      </c>
      <c r="E58" s="7" t="s">
        <v>565</v>
      </c>
      <c r="F58" s="7" t="s">
        <v>689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594</v>
      </c>
      <c r="B59" s="6" t="s">
        <v>595</v>
      </c>
      <c r="C59" s="6" t="s">
        <v>596</v>
      </c>
      <c r="D59" s="6" t="s">
        <v>798</v>
      </c>
      <c r="E59" s="7" t="s">
        <v>566</v>
      </c>
      <c r="F59" s="7" t="s">
        <v>682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597</v>
      </c>
      <c r="B60" s="6" t="s">
        <v>598</v>
      </c>
      <c r="C60" s="6" t="s">
        <v>599</v>
      </c>
      <c r="D60" s="6" t="s">
        <v>799</v>
      </c>
      <c r="E60" s="7" t="s">
        <v>567</v>
      </c>
      <c r="F60" s="7" t="s">
        <v>683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600</v>
      </c>
      <c r="B61" s="6" t="s">
        <v>601</v>
      </c>
      <c r="C61" s="6" t="s">
        <v>602</v>
      </c>
      <c r="D61" s="6" t="s">
        <v>800</v>
      </c>
      <c r="E61" s="7" t="s">
        <v>571</v>
      </c>
      <c r="F61" s="7" t="s">
        <v>684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603</v>
      </c>
      <c r="B62" s="6" t="s">
        <v>604</v>
      </c>
      <c r="C62" s="6" t="s">
        <v>605</v>
      </c>
      <c r="D62" s="6" t="s">
        <v>801</v>
      </c>
      <c r="E62" s="7" t="s">
        <v>568</v>
      </c>
      <c r="F62" s="7" t="s">
        <v>685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606</v>
      </c>
      <c r="B63" s="6" t="s">
        <v>607</v>
      </c>
      <c r="C63" s="6" t="s">
        <v>608</v>
      </c>
      <c r="D63" s="6" t="s">
        <v>802</v>
      </c>
      <c r="E63" s="7" t="s">
        <v>569</v>
      </c>
      <c r="F63" s="7" t="s">
        <v>572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609</v>
      </c>
      <c r="B64" s="6" t="s">
        <v>610</v>
      </c>
      <c r="C64" s="6" t="s">
        <v>611</v>
      </c>
      <c r="D64" s="6" t="s">
        <v>803</v>
      </c>
      <c r="E64" s="7" t="s">
        <v>570</v>
      </c>
      <c r="F64" s="7" t="s">
        <v>686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612</v>
      </c>
      <c r="B65" s="6" t="s">
        <v>613</v>
      </c>
      <c r="C65" s="6" t="s">
        <v>614</v>
      </c>
      <c r="D65" s="6" t="s">
        <v>804</v>
      </c>
      <c r="E65" s="7" t="s">
        <v>573</v>
      </c>
      <c r="F65" s="7" t="s">
        <v>687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615</v>
      </c>
      <c r="B66" s="6" t="s">
        <v>616</v>
      </c>
      <c r="C66" s="6" t="s">
        <v>617</v>
      </c>
      <c r="D66" s="6" t="s">
        <v>805</v>
      </c>
      <c r="E66" s="7" t="s">
        <v>574</v>
      </c>
      <c r="F66" s="7" t="s">
        <v>688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618</v>
      </c>
      <c r="B67" s="6" t="s">
        <v>619</v>
      </c>
      <c r="C67" s="6" t="s">
        <v>620</v>
      </c>
      <c r="D67" s="6" t="s">
        <v>806</v>
      </c>
      <c r="E67" s="7" t="s">
        <v>575</v>
      </c>
      <c r="F67" s="7" t="s">
        <v>690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621</v>
      </c>
      <c r="B68" s="6" t="s">
        <v>622</v>
      </c>
      <c r="C68" s="6" t="s">
        <v>623</v>
      </c>
      <c r="D68" s="6" t="s">
        <v>807</v>
      </c>
      <c r="E68" s="7" t="s">
        <v>576</v>
      </c>
      <c r="F68" s="7" t="s">
        <v>584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624</v>
      </c>
      <c r="B69" s="6" t="s">
        <v>625</v>
      </c>
      <c r="C69" s="6" t="s">
        <v>626</v>
      </c>
      <c r="D69" s="6" t="s">
        <v>808</v>
      </c>
      <c r="E69" s="7" t="s">
        <v>577</v>
      </c>
      <c r="F69" s="7" t="s">
        <v>691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627</v>
      </c>
      <c r="B70" s="6" t="s">
        <v>628</v>
      </c>
      <c r="C70" s="6" t="s">
        <v>629</v>
      </c>
      <c r="D70" s="6" t="s">
        <v>809</v>
      </c>
      <c r="E70" s="7" t="s">
        <v>578</v>
      </c>
      <c r="F70" s="7" t="s">
        <v>692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630</v>
      </c>
      <c r="B71" s="6" t="s">
        <v>631</v>
      </c>
      <c r="C71" s="6" t="s">
        <v>632</v>
      </c>
      <c r="D71" s="6" t="s">
        <v>810</v>
      </c>
      <c r="E71" s="7" t="s">
        <v>579</v>
      </c>
      <c r="F71" s="7" t="s">
        <v>693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633</v>
      </c>
      <c r="B72" s="6" t="s">
        <v>634</v>
      </c>
      <c r="C72" s="6" t="s">
        <v>635</v>
      </c>
      <c r="D72" s="6" t="s">
        <v>811</v>
      </c>
      <c r="E72" s="7" t="s">
        <v>580</v>
      </c>
      <c r="F72" s="7" t="s">
        <v>694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695</v>
      </c>
    </row>
    <row r="73" spans="1:20" x14ac:dyDescent="0.3">
      <c r="A73" s="6" t="s">
        <v>636</v>
      </c>
      <c r="B73" s="6" t="s">
        <v>637</v>
      </c>
      <c r="C73" s="6" t="s">
        <v>638</v>
      </c>
      <c r="D73" s="6" t="s">
        <v>812</v>
      </c>
      <c r="E73" s="7" t="s">
        <v>581</v>
      </c>
      <c r="F73" s="7" t="s">
        <v>583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639</v>
      </c>
      <c r="B74" s="6" t="s">
        <v>640</v>
      </c>
      <c r="C74" s="6" t="s">
        <v>641</v>
      </c>
      <c r="D74" s="6" t="s">
        <v>813</v>
      </c>
      <c r="E74" s="7" t="s">
        <v>582</v>
      </c>
      <c r="F74" s="7" t="s">
        <v>696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648</v>
      </c>
      <c r="B75" s="6" t="s">
        <v>649</v>
      </c>
      <c r="C75" s="6" t="s">
        <v>650</v>
      </c>
      <c r="D75" s="6" t="s">
        <v>814</v>
      </c>
      <c r="E75" s="7" t="s">
        <v>642</v>
      </c>
      <c r="F75" s="7" t="s">
        <v>697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651</v>
      </c>
      <c r="B76" s="6" t="s">
        <v>652</v>
      </c>
      <c r="C76" s="6" t="s">
        <v>653</v>
      </c>
      <c r="D76" s="6" t="s">
        <v>815</v>
      </c>
      <c r="E76" s="7" t="s">
        <v>643</v>
      </c>
      <c r="F76" s="7" t="s">
        <v>698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654</v>
      </c>
      <c r="B77" s="6" t="s">
        <v>655</v>
      </c>
      <c r="C77" s="6" t="s">
        <v>656</v>
      </c>
      <c r="D77" s="6" t="s">
        <v>816</v>
      </c>
      <c r="E77" s="7" t="s">
        <v>644</v>
      </c>
      <c r="F77" s="7" t="s">
        <v>699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657</v>
      </c>
      <c r="B78" s="6" t="s">
        <v>658</v>
      </c>
      <c r="C78" s="6" t="s">
        <v>659</v>
      </c>
      <c r="D78" s="6" t="s">
        <v>817</v>
      </c>
      <c r="E78" s="7" t="s">
        <v>645</v>
      </c>
      <c r="F78" s="7" t="s">
        <v>666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660</v>
      </c>
      <c r="B79" s="6" t="s">
        <v>661</v>
      </c>
      <c r="C79" s="6" t="s">
        <v>662</v>
      </c>
      <c r="D79" s="6" t="s">
        <v>818</v>
      </c>
      <c r="E79" s="7" t="s">
        <v>646</v>
      </c>
      <c r="F79" s="7" t="s">
        <v>700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663</v>
      </c>
      <c r="B80" s="6" t="s">
        <v>664</v>
      </c>
      <c r="C80" s="6" t="s">
        <v>665</v>
      </c>
      <c r="D80" s="6" t="s">
        <v>819</v>
      </c>
      <c r="E80" s="7" t="s">
        <v>647</v>
      </c>
      <c r="F80" s="7" t="s">
        <v>701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AA17"/>
  <sheetViews>
    <sheetView tabSelected="1" topLeftCell="G1" workbookViewId="0">
      <selection activeCell="C24" sqref="C24"/>
    </sheetView>
  </sheetViews>
  <sheetFormatPr defaultRowHeight="12" x14ac:dyDescent="0.3"/>
  <cols>
    <col min="1" max="1" width="9" style="3"/>
    <col min="2" max="2" width="13" style="3" bestFit="1" customWidth="1"/>
    <col min="3" max="3" width="80.875" style="26" bestFit="1" customWidth="1"/>
    <col min="4" max="13" width="9" style="3"/>
    <col min="14" max="14" width="2.875" style="17" customWidth="1"/>
    <col min="15" max="15" width="9" style="1"/>
    <col min="16" max="16" width="12.125" style="1" bestFit="1" customWidth="1"/>
    <col min="17" max="17" width="52.375" style="1" bestFit="1" customWidth="1"/>
    <col min="18" max="18" width="17.75" style="1" bestFit="1" customWidth="1"/>
    <col min="19" max="19" width="16.125" style="1" bestFit="1" customWidth="1"/>
    <col min="20" max="20" width="14.375" style="1" bestFit="1" customWidth="1"/>
    <col min="21" max="26" width="9" style="1"/>
    <col min="27" max="27" width="12.75" style="1" bestFit="1" customWidth="1"/>
    <col min="28" max="16384" width="9" style="1"/>
  </cols>
  <sheetData>
    <row r="1" spans="1:27" s="11" customFormat="1" x14ac:dyDescent="0.3">
      <c r="A1" s="2" t="s">
        <v>91</v>
      </c>
      <c r="B1" s="2" t="s">
        <v>1116</v>
      </c>
      <c r="C1" s="25" t="s">
        <v>21</v>
      </c>
      <c r="D1" s="2" t="s">
        <v>130</v>
      </c>
      <c r="E1" s="2" t="s">
        <v>131</v>
      </c>
      <c r="F1" s="2" t="s">
        <v>132</v>
      </c>
      <c r="G1" s="2" t="s">
        <v>133</v>
      </c>
      <c r="H1" s="2" t="s">
        <v>134</v>
      </c>
      <c r="I1" s="2" t="s">
        <v>135</v>
      </c>
      <c r="J1" s="2" t="s">
        <v>136</v>
      </c>
      <c r="K1" s="2" t="s">
        <v>137</v>
      </c>
      <c r="L1" s="2" t="s">
        <v>138</v>
      </c>
      <c r="M1" s="2" t="s">
        <v>20</v>
      </c>
      <c r="N1" s="12"/>
    </row>
    <row r="2" spans="1:27" x14ac:dyDescent="0.3">
      <c r="A2" s="3">
        <v>101</v>
      </c>
      <c r="B2" s="3">
        <v>1</v>
      </c>
      <c r="C2" s="26" t="s">
        <v>371</v>
      </c>
      <c r="D2" s="3">
        <v>5</v>
      </c>
      <c r="E2" s="3">
        <v>3300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</row>
    <row r="3" spans="1:27" x14ac:dyDescent="0.3">
      <c r="A3" s="3">
        <v>102</v>
      </c>
      <c r="B3" s="3">
        <v>1</v>
      </c>
      <c r="C3" s="26" t="s">
        <v>371</v>
      </c>
      <c r="D3" s="3">
        <v>7</v>
      </c>
      <c r="E3" s="3">
        <v>5000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P3" s="34" t="s">
        <v>1117</v>
      </c>
      <c r="Q3" s="34"/>
      <c r="R3" s="34"/>
      <c r="S3" s="34"/>
      <c r="T3" s="34"/>
    </row>
    <row r="4" spans="1:27" x14ac:dyDescent="0.3">
      <c r="A4" s="3">
        <v>103</v>
      </c>
      <c r="B4" s="31">
        <v>4</v>
      </c>
      <c r="C4" s="26" t="s">
        <v>1187</v>
      </c>
      <c r="D4" s="3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P4" s="32" t="s">
        <v>1122</v>
      </c>
      <c r="Q4" s="32" t="s">
        <v>1118</v>
      </c>
      <c r="R4" s="32" t="s">
        <v>1119</v>
      </c>
      <c r="S4" s="32" t="s">
        <v>1120</v>
      </c>
      <c r="T4" s="32" t="s">
        <v>1121</v>
      </c>
      <c r="V4" s="34" t="s">
        <v>1144</v>
      </c>
      <c r="W4" s="34"/>
      <c r="X4" s="34" t="s">
        <v>1146</v>
      </c>
      <c r="Y4" s="34"/>
      <c r="Z4" s="34" t="s">
        <v>1153</v>
      </c>
      <c r="AA4" s="34"/>
    </row>
    <row r="5" spans="1:27" x14ac:dyDescent="0.3">
      <c r="A5" s="3">
        <v>104</v>
      </c>
      <c r="B5" s="31">
        <v>5</v>
      </c>
      <c r="C5" s="26" t="s">
        <v>1188</v>
      </c>
      <c r="D5" s="3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P5" s="31">
        <v>1</v>
      </c>
      <c r="Q5" s="31" t="s">
        <v>1123</v>
      </c>
      <c r="R5" s="31" t="s">
        <v>1124</v>
      </c>
      <c r="S5" s="31" t="s">
        <v>1125</v>
      </c>
      <c r="T5" s="31"/>
      <c r="V5" s="31">
        <v>1</v>
      </c>
      <c r="W5" s="31" t="s">
        <v>1145</v>
      </c>
      <c r="X5" s="31">
        <v>1</v>
      </c>
      <c r="Y5" s="31" t="s">
        <v>1147</v>
      </c>
      <c r="Z5" s="31">
        <v>1</v>
      </c>
      <c r="AA5" s="31" t="s">
        <v>1154</v>
      </c>
    </row>
    <row r="6" spans="1:27" x14ac:dyDescent="0.3">
      <c r="A6" s="3">
        <v>105</v>
      </c>
      <c r="B6" s="31">
        <v>6</v>
      </c>
      <c r="C6" s="26" t="s">
        <v>1189</v>
      </c>
      <c r="D6" s="3">
        <v>2</v>
      </c>
      <c r="E6" s="10">
        <v>10000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P6" s="31">
        <v>2</v>
      </c>
      <c r="Q6" s="31" t="s">
        <v>1126</v>
      </c>
      <c r="R6" s="31" t="s">
        <v>1125</v>
      </c>
      <c r="S6" s="31"/>
      <c r="T6" s="31"/>
      <c r="V6" s="31">
        <v>2</v>
      </c>
      <c r="W6" s="31"/>
      <c r="X6" s="31">
        <v>2</v>
      </c>
      <c r="Y6" s="31">
        <v>0</v>
      </c>
      <c r="Z6" s="31">
        <v>2</v>
      </c>
      <c r="AA6" s="31" t="s">
        <v>1155</v>
      </c>
    </row>
    <row r="7" spans="1:27" x14ac:dyDescent="0.3">
      <c r="A7" s="3">
        <v>106</v>
      </c>
      <c r="B7" s="31">
        <v>7</v>
      </c>
      <c r="C7" s="26" t="s">
        <v>1190</v>
      </c>
      <c r="D7" s="3">
        <v>2</v>
      </c>
      <c r="E7" s="10">
        <v>10000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P7" s="33">
        <v>3</v>
      </c>
      <c r="Q7" s="33" t="s">
        <v>1127</v>
      </c>
      <c r="R7" s="33" t="s">
        <v>1125</v>
      </c>
      <c r="S7" s="33"/>
      <c r="T7" s="33"/>
      <c r="V7" s="31">
        <v>3</v>
      </c>
      <c r="W7" s="31"/>
      <c r="X7" s="31">
        <v>3</v>
      </c>
      <c r="Y7" s="31" t="s">
        <v>1148</v>
      </c>
      <c r="Z7" s="31">
        <v>3</v>
      </c>
      <c r="AA7" s="31" t="s">
        <v>1156</v>
      </c>
    </row>
    <row r="8" spans="1:27" x14ac:dyDescent="0.3">
      <c r="A8" s="3">
        <v>107</v>
      </c>
      <c r="B8" s="31">
        <v>8</v>
      </c>
      <c r="C8" s="26" t="s">
        <v>1191</v>
      </c>
      <c r="D8" s="3">
        <v>2</v>
      </c>
      <c r="E8" s="10">
        <v>10000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P8" s="31">
        <v>4</v>
      </c>
      <c r="Q8" s="31" t="s">
        <v>1128</v>
      </c>
      <c r="R8" s="31" t="s">
        <v>372</v>
      </c>
      <c r="S8" s="31"/>
      <c r="T8" s="31"/>
      <c r="X8" s="31">
        <v>4</v>
      </c>
      <c r="Y8" s="31" t="s">
        <v>1149</v>
      </c>
      <c r="Z8" s="31">
        <v>4</v>
      </c>
      <c r="AA8" s="31" t="s">
        <v>1157</v>
      </c>
    </row>
    <row r="9" spans="1:27" x14ac:dyDescent="0.3">
      <c r="A9" s="3">
        <v>108</v>
      </c>
      <c r="B9" s="3">
        <v>10</v>
      </c>
      <c r="C9" s="26" t="s">
        <v>1192</v>
      </c>
      <c r="D9" s="3">
        <v>3</v>
      </c>
      <c r="E9" s="3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P9" s="31">
        <v>5</v>
      </c>
      <c r="Q9" s="31" t="s">
        <v>1129</v>
      </c>
      <c r="R9" s="31" t="s">
        <v>1130</v>
      </c>
      <c r="S9" s="31" t="s">
        <v>372</v>
      </c>
      <c r="T9" s="31"/>
      <c r="X9" s="31">
        <v>5</v>
      </c>
      <c r="Y9" s="31" t="s">
        <v>1150</v>
      </c>
      <c r="Z9" s="31">
        <v>5</v>
      </c>
      <c r="AA9" s="31" t="s">
        <v>1158</v>
      </c>
    </row>
    <row r="10" spans="1:27" x14ac:dyDescent="0.3">
      <c r="A10" s="3">
        <v>109</v>
      </c>
      <c r="B10" s="3">
        <v>11</v>
      </c>
      <c r="C10" s="26" t="s">
        <v>1193</v>
      </c>
      <c r="D10" s="3">
        <v>1</v>
      </c>
      <c r="E10" s="10">
        <v>7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P10" s="31">
        <v>6</v>
      </c>
      <c r="Q10" s="31" t="s">
        <v>1135</v>
      </c>
      <c r="R10" s="31" t="s">
        <v>372</v>
      </c>
      <c r="S10" s="31" t="s">
        <v>1125</v>
      </c>
      <c r="T10" s="31"/>
      <c r="X10" s="31">
        <v>6</v>
      </c>
      <c r="Y10" s="31" t="s">
        <v>262</v>
      </c>
      <c r="Z10" s="31">
        <v>6</v>
      </c>
      <c r="AA10" s="31" t="s">
        <v>1159</v>
      </c>
    </row>
    <row r="11" spans="1:27" x14ac:dyDescent="0.3">
      <c r="A11" s="3">
        <v>110</v>
      </c>
      <c r="B11" s="3">
        <v>12</v>
      </c>
      <c r="C11" s="26" t="s">
        <v>1194</v>
      </c>
      <c r="D11" s="3">
        <v>1</v>
      </c>
      <c r="E11" s="3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P11" s="31">
        <v>7</v>
      </c>
      <c r="Q11" s="31" t="s">
        <v>1136</v>
      </c>
      <c r="R11" s="31" t="s">
        <v>372</v>
      </c>
      <c r="S11" s="31" t="s">
        <v>1125</v>
      </c>
      <c r="T11" s="31"/>
      <c r="X11" s="31">
        <v>7</v>
      </c>
      <c r="Y11" s="31" t="s">
        <v>264</v>
      </c>
      <c r="Z11" s="31">
        <v>7</v>
      </c>
      <c r="AA11" s="31" t="s">
        <v>1160</v>
      </c>
    </row>
    <row r="12" spans="1:27" x14ac:dyDescent="0.3">
      <c r="A12" s="3">
        <v>111</v>
      </c>
      <c r="B12" s="3">
        <v>13</v>
      </c>
      <c r="C12" s="26" t="s">
        <v>1195</v>
      </c>
      <c r="D12" s="3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P12" s="31">
        <v>8</v>
      </c>
      <c r="Q12" s="31" t="s">
        <v>1137</v>
      </c>
      <c r="R12" s="31" t="s">
        <v>372</v>
      </c>
      <c r="S12" s="31" t="s">
        <v>1125</v>
      </c>
      <c r="T12" s="31"/>
      <c r="X12" s="31">
        <v>8</v>
      </c>
      <c r="Y12" s="31" t="s">
        <v>266</v>
      </c>
    </row>
    <row r="13" spans="1:27" x14ac:dyDescent="0.3">
      <c r="A13" s="3">
        <v>112</v>
      </c>
      <c r="B13" s="3">
        <v>2</v>
      </c>
      <c r="C13" s="26" t="s">
        <v>1196</v>
      </c>
      <c r="D13" s="3">
        <v>10000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P13" s="33">
        <v>9</v>
      </c>
      <c r="Q13" s="33" t="s">
        <v>1131</v>
      </c>
      <c r="R13" s="33" t="s">
        <v>1132</v>
      </c>
      <c r="S13" s="33"/>
      <c r="T13" s="33"/>
      <c r="X13" s="31">
        <v>9</v>
      </c>
      <c r="Y13" s="31" t="s">
        <v>1151</v>
      </c>
    </row>
    <row r="14" spans="1:27" x14ac:dyDescent="0.3">
      <c r="P14" s="31">
        <v>10</v>
      </c>
      <c r="Q14" s="31" t="s">
        <v>1133</v>
      </c>
      <c r="R14" s="31" t="s">
        <v>1134</v>
      </c>
      <c r="S14" s="31"/>
      <c r="T14" s="31"/>
      <c r="X14" s="31">
        <v>10</v>
      </c>
      <c r="Y14" s="31" t="s">
        <v>1152</v>
      </c>
    </row>
    <row r="15" spans="1:27" x14ac:dyDescent="0.3">
      <c r="P15" s="31">
        <v>11</v>
      </c>
      <c r="Q15" s="31" t="s">
        <v>1138</v>
      </c>
      <c r="R15" s="31" t="s">
        <v>1134</v>
      </c>
      <c r="S15" s="31" t="s">
        <v>1139</v>
      </c>
      <c r="T15" s="31" t="s">
        <v>1140</v>
      </c>
    </row>
    <row r="16" spans="1:27" x14ac:dyDescent="0.3">
      <c r="P16" s="31">
        <v>12</v>
      </c>
      <c r="Q16" s="31" t="s">
        <v>1141</v>
      </c>
      <c r="R16" s="31" t="s">
        <v>1134</v>
      </c>
      <c r="S16" s="31" t="s">
        <v>1142</v>
      </c>
      <c r="T16" s="31"/>
    </row>
    <row r="17" spans="16:20" x14ac:dyDescent="0.3">
      <c r="P17" s="31">
        <v>13</v>
      </c>
      <c r="Q17" s="31" t="s">
        <v>1143</v>
      </c>
      <c r="R17" s="31" t="s">
        <v>1130</v>
      </c>
      <c r="S17" s="31"/>
      <c r="T17" s="31"/>
    </row>
  </sheetData>
  <mergeCells count="4">
    <mergeCell ref="P3:T3"/>
    <mergeCell ref="V4:W4"/>
    <mergeCell ref="X4:Y4"/>
    <mergeCell ref="Z4:AA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E8" sqref="E8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373</v>
      </c>
      <c r="C1" s="2" t="s">
        <v>374</v>
      </c>
      <c r="D1" s="2" t="s">
        <v>375</v>
      </c>
      <c r="E1" s="2" t="s">
        <v>397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386</v>
      </c>
      <c r="D2" s="3" t="s">
        <v>376</v>
      </c>
      <c r="E2" s="3" t="s">
        <v>1049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387</v>
      </c>
      <c r="D3" s="3" t="s">
        <v>377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388</v>
      </c>
      <c r="D4" s="3" t="s">
        <v>378</v>
      </c>
      <c r="E4" s="3" t="s">
        <v>1045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389</v>
      </c>
      <c r="D5" s="3" t="s">
        <v>379</v>
      </c>
      <c r="E5" s="3" t="s">
        <v>1042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390</v>
      </c>
      <c r="D6" s="3" t="s">
        <v>380</v>
      </c>
      <c r="E6" s="3" t="s">
        <v>1044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391</v>
      </c>
      <c r="D7" s="3" t="s">
        <v>381</v>
      </c>
      <c r="E7" s="3" t="s">
        <v>1048</v>
      </c>
      <c r="F7" s="26" t="s">
        <v>263</v>
      </c>
      <c r="G7" s="26" t="s">
        <v>396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406</v>
      </c>
      <c r="T7" s="3" t="s">
        <v>407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392</v>
      </c>
      <c r="D8" s="3" t="s">
        <v>382</v>
      </c>
      <c r="E8" s="3">
        <v>0</v>
      </c>
      <c r="F8" s="26" t="s">
        <v>265</v>
      </c>
      <c r="G8" s="26" t="s">
        <v>398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372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393</v>
      </c>
      <c r="D9" s="3" t="s">
        <v>383</v>
      </c>
      <c r="E9" s="3" t="s">
        <v>1043</v>
      </c>
      <c r="F9" s="26" t="s">
        <v>267</v>
      </c>
      <c r="G9" s="26" t="s">
        <v>405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394</v>
      </c>
      <c r="D10" s="3" t="s">
        <v>384</v>
      </c>
      <c r="E10" s="3" t="s">
        <v>1047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395</v>
      </c>
      <c r="D11" s="3" t="s">
        <v>385</v>
      </c>
      <c r="E11" s="3" t="s">
        <v>1046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topLeftCell="A4"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702</v>
      </c>
      <c r="B1" s="3" t="s">
        <v>703</v>
      </c>
      <c r="C1" s="3" t="s">
        <v>704</v>
      </c>
      <c r="D1" s="3" t="s">
        <v>705</v>
      </c>
      <c r="E1" s="3" t="s">
        <v>946</v>
      </c>
      <c r="F1" s="3" t="s">
        <v>948</v>
      </c>
      <c r="G1" s="3" t="s">
        <v>706</v>
      </c>
    </row>
    <row r="2" spans="1:12" x14ac:dyDescent="0.3">
      <c r="A2" s="3" t="s">
        <v>824</v>
      </c>
      <c r="B2" s="3" t="s">
        <v>825</v>
      </c>
      <c r="C2" s="3" t="s">
        <v>707</v>
      </c>
      <c r="D2" s="3">
        <v>100</v>
      </c>
      <c r="E2" s="3">
        <v>3</v>
      </c>
      <c r="F2" s="3">
        <v>1</v>
      </c>
      <c r="G2" s="3">
        <v>0</v>
      </c>
      <c r="J2" s="38" t="s">
        <v>821</v>
      </c>
      <c r="K2" s="39"/>
      <c r="L2" s="40"/>
    </row>
    <row r="3" spans="1:12" x14ac:dyDescent="0.3">
      <c r="A3" s="3" t="s">
        <v>895</v>
      </c>
      <c r="B3" s="3" t="s">
        <v>896</v>
      </c>
      <c r="C3" s="3" t="s">
        <v>897</v>
      </c>
      <c r="D3" s="3">
        <v>101</v>
      </c>
      <c r="E3" s="3">
        <v>3</v>
      </c>
      <c r="F3" s="3">
        <v>1</v>
      </c>
      <c r="G3" s="3" t="s">
        <v>898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904</v>
      </c>
      <c r="B4" s="3" t="s">
        <v>909</v>
      </c>
      <c r="C4" s="3" t="s">
        <v>910</v>
      </c>
      <c r="D4" s="3">
        <v>102</v>
      </c>
      <c r="E4" s="3">
        <v>3</v>
      </c>
      <c r="F4" s="3">
        <v>1</v>
      </c>
      <c r="G4" s="3" t="s">
        <v>911</v>
      </c>
      <c r="J4" s="2" t="s">
        <v>708</v>
      </c>
      <c r="K4" s="6" t="s">
        <v>709</v>
      </c>
      <c r="L4" s="6" t="s">
        <v>88</v>
      </c>
    </row>
    <row r="5" spans="1:12" x14ac:dyDescent="0.3">
      <c r="J5" s="2" t="s">
        <v>710</v>
      </c>
      <c r="K5" s="6" t="s">
        <v>711</v>
      </c>
      <c r="L5" s="6" t="s">
        <v>88</v>
      </c>
    </row>
    <row r="6" spans="1:12" x14ac:dyDescent="0.3">
      <c r="J6" s="2" t="s">
        <v>712</v>
      </c>
      <c r="K6" s="6" t="s">
        <v>713</v>
      </c>
      <c r="L6" s="6" t="s">
        <v>96</v>
      </c>
    </row>
    <row r="7" spans="1:12" x14ac:dyDescent="0.3">
      <c r="J7" s="2" t="s">
        <v>714</v>
      </c>
      <c r="K7" s="6" t="s">
        <v>715</v>
      </c>
      <c r="L7" s="6" t="s">
        <v>921</v>
      </c>
    </row>
    <row r="8" spans="1:12" x14ac:dyDescent="0.3">
      <c r="J8" s="2" t="s">
        <v>945</v>
      </c>
      <c r="K8" s="6" t="s">
        <v>949</v>
      </c>
      <c r="L8" s="6" t="s">
        <v>122</v>
      </c>
    </row>
    <row r="9" spans="1:12" x14ac:dyDescent="0.3">
      <c r="J9" s="2" t="s">
        <v>947</v>
      </c>
      <c r="K9" s="6" t="s">
        <v>950</v>
      </c>
      <c r="L9" s="6" t="s">
        <v>122</v>
      </c>
    </row>
    <row r="10" spans="1:12" x14ac:dyDescent="0.3">
      <c r="J10" s="2" t="s">
        <v>716</v>
      </c>
      <c r="K10" s="6" t="s">
        <v>717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topLeftCell="A10" workbookViewId="0"/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718</v>
      </c>
      <c r="B1" s="3" t="s">
        <v>719</v>
      </c>
      <c r="C1" s="3" t="s">
        <v>720</v>
      </c>
      <c r="D1" s="3" t="s">
        <v>721</v>
      </c>
      <c r="E1" s="3" t="s">
        <v>722</v>
      </c>
      <c r="F1" s="29" t="s">
        <v>723</v>
      </c>
      <c r="G1" s="3" t="s">
        <v>944</v>
      </c>
      <c r="H1" s="3" t="s">
        <v>724</v>
      </c>
      <c r="J1" s="1" t="s">
        <v>912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42" t="s">
        <v>847</v>
      </c>
      <c r="M2" s="42"/>
      <c r="N2" s="42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832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409</v>
      </c>
      <c r="H4" s="3">
        <v>1</v>
      </c>
      <c r="L4" s="10" t="s">
        <v>833</v>
      </c>
      <c r="M4" s="10" t="s">
        <v>834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408</v>
      </c>
      <c r="H5" s="3">
        <v>1</v>
      </c>
      <c r="L5" s="10" t="s">
        <v>835</v>
      </c>
      <c r="M5" s="10" t="s">
        <v>836</v>
      </c>
      <c r="N5" s="10" t="s">
        <v>100</v>
      </c>
      <c r="P5" s="45" t="s">
        <v>848</v>
      </c>
      <c r="Q5" s="45"/>
      <c r="R5" s="45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410</v>
      </c>
      <c r="H6" s="3">
        <v>1</v>
      </c>
      <c r="L6" s="10" t="s">
        <v>837</v>
      </c>
      <c r="M6" s="10" t="s">
        <v>838</v>
      </c>
      <c r="N6" s="10" t="s">
        <v>100</v>
      </c>
      <c r="P6" s="3" t="s">
        <v>849</v>
      </c>
      <c r="Q6" s="3" t="s">
        <v>86</v>
      </c>
      <c r="R6" s="3" t="s">
        <v>850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411</v>
      </c>
      <c r="H7" s="3">
        <v>1</v>
      </c>
      <c r="L7" s="10" t="s">
        <v>839</v>
      </c>
      <c r="M7" s="10" t="s">
        <v>840</v>
      </c>
      <c r="N7" s="10" t="s">
        <v>122</v>
      </c>
      <c r="P7" s="3">
        <v>1</v>
      </c>
      <c r="Q7" s="3" t="s">
        <v>851</v>
      </c>
      <c r="R7" s="3" t="s">
        <v>852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412</v>
      </c>
      <c r="H8" s="3">
        <v>1</v>
      </c>
      <c r="L8" s="10" t="s">
        <v>841</v>
      </c>
      <c r="M8" s="10" t="s">
        <v>842</v>
      </c>
      <c r="N8" s="10" t="s">
        <v>100</v>
      </c>
      <c r="P8" s="3">
        <v>2</v>
      </c>
      <c r="Q8" s="3" t="s">
        <v>863</v>
      </c>
      <c r="R8" s="3" t="s">
        <v>864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843</v>
      </c>
      <c r="M9" s="10" t="s">
        <v>844</v>
      </c>
      <c r="N9" s="10" t="s">
        <v>100</v>
      </c>
      <c r="P9" s="3">
        <v>3</v>
      </c>
      <c r="Q9" s="3" t="s">
        <v>867</v>
      </c>
      <c r="R9" s="3" t="s">
        <v>868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413</v>
      </c>
      <c r="H10" s="3">
        <v>1</v>
      </c>
      <c r="L10" s="10" t="s">
        <v>845</v>
      </c>
      <c r="M10" s="10" t="s">
        <v>846</v>
      </c>
      <c r="N10" s="10" t="s">
        <v>122</v>
      </c>
      <c r="P10" s="3">
        <v>4</v>
      </c>
      <c r="Q10" s="3" t="s">
        <v>1033</v>
      </c>
      <c r="R10" s="3" t="s">
        <v>1034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414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42" t="s">
        <v>853</v>
      </c>
      <c r="Q12" s="42"/>
      <c r="R12" s="42"/>
      <c r="S12" s="42"/>
      <c r="T12" s="42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841</v>
      </c>
      <c r="Q13" s="27" t="s">
        <v>86</v>
      </c>
      <c r="R13" s="27" t="s">
        <v>843</v>
      </c>
      <c r="S13" s="27" t="s">
        <v>845</v>
      </c>
      <c r="T13" s="27" t="s">
        <v>854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855</v>
      </c>
      <c r="R14" s="27" t="s">
        <v>856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858</v>
      </c>
      <c r="R15" s="27" t="s">
        <v>860</v>
      </c>
      <c r="S15" s="27" t="s">
        <v>857</v>
      </c>
      <c r="T15" s="27" t="s">
        <v>861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859</v>
      </c>
      <c r="R16" s="27" t="s">
        <v>317</v>
      </c>
      <c r="S16" s="27" t="s">
        <v>857</v>
      </c>
      <c r="T16" s="27" t="s">
        <v>862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865</v>
      </c>
      <c r="R17" s="3" t="s">
        <v>702</v>
      </c>
      <c r="S17" s="27" t="s">
        <v>857</v>
      </c>
      <c r="T17" s="27" t="s">
        <v>866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415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416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399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402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826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827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828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829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1091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1085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1097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1103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826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827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828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829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1091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1085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1097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1103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876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877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1094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1088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1100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1106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894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904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880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826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827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828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829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1091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1085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1097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1103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876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877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1094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1088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1100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1106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826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827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828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829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1091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1085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1097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1103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828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829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1091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1085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1097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1103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876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877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1094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1088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1100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1106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876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877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1094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1088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1100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1106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880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871</v>
      </c>
      <c r="B1" s="28" t="s">
        <v>875</v>
      </c>
      <c r="C1" s="28" t="s">
        <v>873</v>
      </c>
      <c r="D1" s="28" t="s">
        <v>822</v>
      </c>
      <c r="E1" s="28" t="s">
        <v>823</v>
      </c>
    </row>
    <row r="2" spans="1:14" x14ac:dyDescent="0.3">
      <c r="A2" s="28">
        <v>1</v>
      </c>
      <c r="B2" s="28">
        <v>1</v>
      </c>
      <c r="C2" s="28" t="s">
        <v>826</v>
      </c>
      <c r="D2" s="28">
        <v>6</v>
      </c>
      <c r="E2" s="28">
        <v>8</v>
      </c>
      <c r="H2" s="38" t="s">
        <v>882</v>
      </c>
      <c r="I2" s="39"/>
      <c r="J2" s="40"/>
    </row>
    <row r="3" spans="1:14" x14ac:dyDescent="0.3">
      <c r="A3" s="28">
        <v>2</v>
      </c>
      <c r="B3" s="28">
        <v>1</v>
      </c>
      <c r="C3" s="28" t="s">
        <v>827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870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874</v>
      </c>
      <c r="I5" s="6" t="s">
        <v>885</v>
      </c>
      <c r="J5" s="6" t="s">
        <v>100</v>
      </c>
      <c r="L5" s="45" t="s">
        <v>887</v>
      </c>
      <c r="M5" s="45"/>
      <c r="N5" s="45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872</v>
      </c>
      <c r="I6" s="6" t="s">
        <v>886</v>
      </c>
      <c r="J6" s="6" t="s">
        <v>88</v>
      </c>
      <c r="L6" s="3" t="s">
        <v>849</v>
      </c>
      <c r="M6" s="3" t="s">
        <v>86</v>
      </c>
      <c r="N6" s="3" t="s">
        <v>873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822</v>
      </c>
      <c r="I7" s="6" t="s">
        <v>883</v>
      </c>
      <c r="J7" s="6" t="s">
        <v>122</v>
      </c>
      <c r="L7" s="3">
        <v>1</v>
      </c>
      <c r="M7" s="3" t="s">
        <v>90</v>
      </c>
      <c r="N7" s="3" t="s">
        <v>889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823</v>
      </c>
      <c r="I8" s="6" t="s">
        <v>884</v>
      </c>
      <c r="J8" s="6" t="s">
        <v>122</v>
      </c>
      <c r="L8" s="3">
        <v>2</v>
      </c>
      <c r="M8" s="3" t="s">
        <v>888</v>
      </c>
      <c r="N8" s="3" t="s">
        <v>890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902</v>
      </c>
      <c r="N9" s="3" t="s">
        <v>903</v>
      </c>
    </row>
    <row r="10" spans="1:14" x14ac:dyDescent="0.3">
      <c r="A10" s="28">
        <v>9</v>
      </c>
      <c r="B10" s="28">
        <v>1</v>
      </c>
      <c r="C10" s="28" t="s">
        <v>828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876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829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877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399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402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830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878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831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879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880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881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895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904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1108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1109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1110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1111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1112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1113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1114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1115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869</v>
      </c>
      <c r="B1" s="3" t="s">
        <v>892</v>
      </c>
      <c r="C1" s="3" t="s">
        <v>925</v>
      </c>
      <c r="D1" s="3" t="s">
        <v>893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8" t="s">
        <v>938</v>
      </c>
      <c r="H2" s="39"/>
      <c r="I2" s="40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833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891</v>
      </c>
      <c r="H5" s="6" t="s">
        <v>924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925</v>
      </c>
      <c r="H6" s="6" t="s">
        <v>922</v>
      </c>
      <c r="I6" s="6" t="s">
        <v>100</v>
      </c>
      <c r="K6" s="45" t="s">
        <v>937</v>
      </c>
      <c r="L6" s="45"/>
      <c r="M6" s="45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837</v>
      </c>
      <c r="H7" s="6" t="s">
        <v>923</v>
      </c>
      <c r="I7" s="6" t="s">
        <v>88</v>
      </c>
      <c r="K7" s="3" t="s">
        <v>849</v>
      </c>
      <c r="L7" s="3" t="s">
        <v>927</v>
      </c>
      <c r="M7" s="3" t="s">
        <v>926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928</v>
      </c>
      <c r="M8" s="3" t="s">
        <v>935</v>
      </c>
    </row>
    <row r="9" spans="1:13" x14ac:dyDescent="0.3">
      <c r="K9" s="3">
        <v>2</v>
      </c>
      <c r="L9" s="3" t="s">
        <v>929</v>
      </c>
      <c r="M9" s="3" t="s">
        <v>935</v>
      </c>
    </row>
    <row r="10" spans="1:13" x14ac:dyDescent="0.3">
      <c r="K10" s="3">
        <v>3</v>
      </c>
      <c r="L10" s="3" t="s">
        <v>930</v>
      </c>
      <c r="M10" s="3" t="s">
        <v>935</v>
      </c>
    </row>
    <row r="11" spans="1:13" x14ac:dyDescent="0.3">
      <c r="K11" s="3">
        <v>4</v>
      </c>
      <c r="L11" s="3" t="s">
        <v>931</v>
      </c>
      <c r="M11" s="3" t="s">
        <v>858</v>
      </c>
    </row>
    <row r="12" spans="1:13" x14ac:dyDescent="0.3">
      <c r="K12" s="3">
        <v>5</v>
      </c>
      <c r="L12" s="3" t="s">
        <v>932</v>
      </c>
      <c r="M12" s="3" t="s">
        <v>858</v>
      </c>
    </row>
    <row r="13" spans="1:13" x14ac:dyDescent="0.3">
      <c r="K13" s="3">
        <v>6</v>
      </c>
      <c r="L13" s="3" t="s">
        <v>933</v>
      </c>
      <c r="M13" s="3" t="s">
        <v>936</v>
      </c>
    </row>
    <row r="14" spans="1:13" x14ac:dyDescent="0.3">
      <c r="K14" s="3">
        <v>7</v>
      </c>
      <c r="L14" s="3" t="s">
        <v>934</v>
      </c>
      <c r="M14" s="3" t="s">
        <v>936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/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871</v>
      </c>
      <c r="B1" s="3" t="s">
        <v>913</v>
      </c>
      <c r="C1" s="3" t="s">
        <v>915</v>
      </c>
      <c r="D1" s="3" t="s">
        <v>917</v>
      </c>
      <c r="E1" s="3" t="s">
        <v>919</v>
      </c>
    </row>
    <row r="2" spans="1:10" x14ac:dyDescent="0.3">
      <c r="A2" s="3">
        <v>1</v>
      </c>
      <c r="B2" s="3">
        <v>1</v>
      </c>
      <c r="C2" s="3" t="s">
        <v>920</v>
      </c>
      <c r="D2" s="3">
        <v>5</v>
      </c>
      <c r="E2" s="3">
        <v>1101</v>
      </c>
      <c r="H2" s="38" t="s">
        <v>943</v>
      </c>
      <c r="I2" s="39"/>
      <c r="J2" s="40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870</v>
      </c>
      <c r="I4" s="6" t="s">
        <v>88</v>
      </c>
      <c r="J4" s="6" t="s">
        <v>88</v>
      </c>
    </row>
    <row r="5" spans="1:10" x14ac:dyDescent="0.3">
      <c r="H5" s="2" t="s">
        <v>913</v>
      </c>
      <c r="I5" s="6" t="s">
        <v>939</v>
      </c>
      <c r="J5" s="6" t="s">
        <v>88</v>
      </c>
    </row>
    <row r="6" spans="1:10" x14ac:dyDescent="0.3">
      <c r="H6" s="2" t="s">
        <v>914</v>
      </c>
      <c r="I6" s="6" t="s">
        <v>940</v>
      </c>
      <c r="J6" s="6" t="s">
        <v>100</v>
      </c>
    </row>
    <row r="7" spans="1:10" x14ac:dyDescent="0.3">
      <c r="H7" s="2" t="s">
        <v>916</v>
      </c>
      <c r="I7" s="6" t="s">
        <v>941</v>
      </c>
      <c r="J7" s="6" t="s">
        <v>122</v>
      </c>
    </row>
    <row r="8" spans="1:10" x14ac:dyDescent="0.3">
      <c r="H8" s="2" t="s">
        <v>918</v>
      </c>
      <c r="I8" s="6" t="s">
        <v>942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870</v>
      </c>
      <c r="B1" s="3" t="s">
        <v>982</v>
      </c>
      <c r="C1" s="3" t="s">
        <v>983</v>
      </c>
      <c r="D1" s="3" t="s">
        <v>995</v>
      </c>
      <c r="E1" s="3" t="s">
        <v>984</v>
      </c>
      <c r="F1" s="3" t="s">
        <v>985</v>
      </c>
      <c r="G1" s="3" t="s">
        <v>993</v>
      </c>
      <c r="H1" s="3" t="s">
        <v>986</v>
      </c>
      <c r="I1" s="3" t="s">
        <v>987</v>
      </c>
      <c r="J1" s="3" t="s">
        <v>988</v>
      </c>
      <c r="K1" s="3" t="s">
        <v>989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8" t="s">
        <v>1014</v>
      </c>
      <c r="O2" s="39"/>
      <c r="P2" s="40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870</v>
      </c>
      <c r="O4" s="6" t="s">
        <v>88</v>
      </c>
      <c r="P4" s="6" t="s">
        <v>88</v>
      </c>
    </row>
    <row r="5" spans="1:19" x14ac:dyDescent="0.3">
      <c r="N5" s="2" t="s">
        <v>982</v>
      </c>
      <c r="O5" s="6" t="s">
        <v>990</v>
      </c>
      <c r="P5" s="6" t="s">
        <v>100</v>
      </c>
      <c r="R5" s="38" t="s">
        <v>990</v>
      </c>
      <c r="S5" s="40"/>
    </row>
    <row r="6" spans="1:19" x14ac:dyDescent="0.3">
      <c r="N6" s="2" t="s">
        <v>983</v>
      </c>
      <c r="O6" s="6" t="s">
        <v>991</v>
      </c>
      <c r="P6" s="6" t="s">
        <v>122</v>
      </c>
      <c r="R6" s="3" t="s">
        <v>849</v>
      </c>
      <c r="S6" s="3" t="s">
        <v>1004</v>
      </c>
    </row>
    <row r="7" spans="1:19" x14ac:dyDescent="0.3">
      <c r="N7" s="2" t="s">
        <v>994</v>
      </c>
      <c r="O7" s="6" t="s">
        <v>996</v>
      </c>
      <c r="P7" s="6" t="s">
        <v>122</v>
      </c>
      <c r="R7" s="3">
        <v>1</v>
      </c>
      <c r="S7" s="3" t="s">
        <v>1005</v>
      </c>
    </row>
    <row r="8" spans="1:19" x14ac:dyDescent="0.3">
      <c r="N8" s="2" t="s">
        <v>984</v>
      </c>
      <c r="O8" s="6" t="s">
        <v>992</v>
      </c>
      <c r="P8" s="6" t="s">
        <v>1003</v>
      </c>
      <c r="R8" s="3">
        <v>2</v>
      </c>
      <c r="S8" s="3" t="s">
        <v>1006</v>
      </c>
    </row>
    <row r="9" spans="1:19" x14ac:dyDescent="0.3">
      <c r="N9" s="2" t="s">
        <v>985</v>
      </c>
      <c r="O9" s="6" t="s">
        <v>999</v>
      </c>
      <c r="P9" s="6" t="s">
        <v>1003</v>
      </c>
      <c r="R9" s="3">
        <v>3</v>
      </c>
      <c r="S9" s="3" t="s">
        <v>1007</v>
      </c>
    </row>
    <row r="10" spans="1:19" x14ac:dyDescent="0.3">
      <c r="N10" s="2" t="s">
        <v>993</v>
      </c>
      <c r="O10" s="6" t="s">
        <v>1000</v>
      </c>
      <c r="P10" s="6" t="s">
        <v>1003</v>
      </c>
    </row>
    <row r="11" spans="1:19" x14ac:dyDescent="0.3">
      <c r="N11" s="2" t="s">
        <v>986</v>
      </c>
      <c r="O11" s="6" t="s">
        <v>997</v>
      </c>
      <c r="P11" s="6" t="s">
        <v>1003</v>
      </c>
    </row>
    <row r="12" spans="1:19" x14ac:dyDescent="0.3">
      <c r="N12" s="2" t="s">
        <v>987</v>
      </c>
      <c r="O12" s="6" t="s">
        <v>998</v>
      </c>
      <c r="P12" s="6" t="s">
        <v>1003</v>
      </c>
    </row>
    <row r="13" spans="1:19" x14ac:dyDescent="0.3">
      <c r="N13" s="2" t="s">
        <v>988</v>
      </c>
      <c r="O13" s="6" t="s">
        <v>1001</v>
      </c>
      <c r="P13" s="6" t="s">
        <v>88</v>
      </c>
    </row>
    <row r="14" spans="1:19" x14ac:dyDescent="0.3">
      <c r="N14" s="2" t="s">
        <v>989</v>
      </c>
      <c r="O14" s="6" t="s">
        <v>1002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869</v>
      </c>
      <c r="B1" s="28" t="s">
        <v>69</v>
      </c>
      <c r="C1" s="28" t="s">
        <v>1009</v>
      </c>
      <c r="D1" s="28" t="s">
        <v>721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8" t="s">
        <v>1015</v>
      </c>
      <c r="H2" s="39"/>
      <c r="I2" s="40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833</v>
      </c>
      <c r="H4" s="6" t="s">
        <v>88</v>
      </c>
      <c r="I4" s="6" t="s">
        <v>88</v>
      </c>
    </row>
    <row r="5" spans="1:9" x14ac:dyDescent="0.3">
      <c r="G5" s="2" t="s">
        <v>860</v>
      </c>
      <c r="H5" s="6" t="s">
        <v>1011</v>
      </c>
      <c r="I5" s="6" t="s">
        <v>88</v>
      </c>
    </row>
    <row r="6" spans="1:9" x14ac:dyDescent="0.3">
      <c r="G6" s="2" t="s">
        <v>1008</v>
      </c>
      <c r="H6" s="6" t="s">
        <v>1012</v>
      </c>
      <c r="I6" s="6" t="s">
        <v>88</v>
      </c>
    </row>
    <row r="7" spans="1:9" x14ac:dyDescent="0.3">
      <c r="G7" s="2" t="s">
        <v>1010</v>
      </c>
      <c r="H7" s="6" t="s">
        <v>1013</v>
      </c>
      <c r="I7" s="6" t="s">
        <v>1003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871</v>
      </c>
      <c r="B1" s="31" t="s">
        <v>1009</v>
      </c>
      <c r="C1" s="31" t="s">
        <v>1036</v>
      </c>
    </row>
    <row r="2" spans="1:11" x14ac:dyDescent="0.3">
      <c r="A2" s="31">
        <v>1</v>
      </c>
      <c r="B2" s="31">
        <v>101</v>
      </c>
      <c r="C2" s="31">
        <v>0</v>
      </c>
      <c r="F2" s="38" t="s">
        <v>1028</v>
      </c>
      <c r="G2" s="39"/>
      <c r="H2" s="40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870</v>
      </c>
      <c r="G4" s="6" t="s">
        <v>88</v>
      </c>
      <c r="H4" s="6" t="s">
        <v>88</v>
      </c>
    </row>
    <row r="5" spans="1:11" x14ac:dyDescent="0.3">
      <c r="F5" s="2" t="s">
        <v>1008</v>
      </c>
      <c r="G5" s="6" t="s">
        <v>1019</v>
      </c>
      <c r="H5" s="6" t="s">
        <v>88</v>
      </c>
    </row>
    <row r="6" spans="1:11" x14ac:dyDescent="0.3">
      <c r="F6" s="2" t="s">
        <v>1035</v>
      </c>
      <c r="G6" s="6" t="s">
        <v>1020</v>
      </c>
      <c r="H6" s="6" t="s">
        <v>100</v>
      </c>
      <c r="J6" s="38" t="s">
        <v>1035</v>
      </c>
      <c r="K6" s="40"/>
    </row>
    <row r="7" spans="1:11" x14ac:dyDescent="0.3">
      <c r="J7" s="3" t="s">
        <v>849</v>
      </c>
      <c r="K7" s="3" t="s">
        <v>1004</v>
      </c>
    </row>
    <row r="8" spans="1:11" x14ac:dyDescent="0.3">
      <c r="J8" s="3">
        <v>0</v>
      </c>
      <c r="K8" s="3" t="s">
        <v>1037</v>
      </c>
    </row>
    <row r="9" spans="1:11" x14ac:dyDescent="0.3">
      <c r="J9" s="3">
        <v>1</v>
      </c>
      <c r="K9" s="3" t="s">
        <v>1038</v>
      </c>
    </row>
    <row r="10" spans="1:11" x14ac:dyDescent="0.3">
      <c r="J10" s="3">
        <v>2</v>
      </c>
      <c r="K10" s="3" t="s">
        <v>1039</v>
      </c>
    </row>
    <row r="11" spans="1:11" x14ac:dyDescent="0.3">
      <c r="J11" s="3">
        <v>3</v>
      </c>
      <c r="K11" s="3" t="s">
        <v>1040</v>
      </c>
    </row>
    <row r="12" spans="1:11" x14ac:dyDescent="0.3">
      <c r="J12" s="3">
        <v>4</v>
      </c>
      <c r="K12" s="3" t="s">
        <v>1041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/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871</v>
      </c>
      <c r="B1" s="3" t="s">
        <v>1009</v>
      </c>
      <c r="C1" s="3" t="s">
        <v>722</v>
      </c>
      <c r="D1" s="26" t="s">
        <v>723</v>
      </c>
      <c r="E1" s="3" t="s">
        <v>944</v>
      </c>
      <c r="F1" s="3" t="s">
        <v>724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8" t="s">
        <v>1028</v>
      </c>
      <c r="J2" s="39"/>
      <c r="K2" s="40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870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1008</v>
      </c>
      <c r="J5" s="6" t="s">
        <v>1019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722</v>
      </c>
      <c r="J6" s="6" t="s">
        <v>1020</v>
      </c>
      <c r="K6" s="6" t="s">
        <v>100</v>
      </c>
      <c r="M6" s="45" t="s">
        <v>1023</v>
      </c>
      <c r="N6" s="45"/>
      <c r="O6" s="45"/>
      <c r="P6" s="45"/>
      <c r="Q6" s="45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1017</v>
      </c>
      <c r="J7" s="6" t="s">
        <v>1021</v>
      </c>
      <c r="K7" s="6" t="s">
        <v>100</v>
      </c>
      <c r="M7" s="2" t="s">
        <v>1016</v>
      </c>
      <c r="N7" s="2" t="s">
        <v>86</v>
      </c>
      <c r="O7" s="2" t="s">
        <v>1017</v>
      </c>
      <c r="P7" s="2" t="s">
        <v>1018</v>
      </c>
      <c r="Q7" s="2" t="s">
        <v>854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1018</v>
      </c>
      <c r="J8" s="6" t="s">
        <v>1022</v>
      </c>
      <c r="K8" s="6" t="s">
        <v>122</v>
      </c>
      <c r="M8" s="3">
        <v>1</v>
      </c>
      <c r="N8" s="3" t="s">
        <v>1024</v>
      </c>
      <c r="O8" s="3" t="s">
        <v>1030</v>
      </c>
      <c r="P8" s="3" t="s">
        <v>1031</v>
      </c>
      <c r="Q8" s="3"/>
    </row>
    <row r="9" spans="1:17" x14ac:dyDescent="0.3">
      <c r="M9" s="3">
        <v>2</v>
      </c>
      <c r="N9" s="3" t="s">
        <v>1025</v>
      </c>
      <c r="O9" s="27" t="s">
        <v>860</v>
      </c>
      <c r="P9" s="27" t="s">
        <v>857</v>
      </c>
      <c r="Q9" s="27" t="s">
        <v>861</v>
      </c>
    </row>
    <row r="10" spans="1:17" x14ac:dyDescent="0.3">
      <c r="M10" s="3">
        <v>3</v>
      </c>
      <c r="N10" s="3" t="s">
        <v>1026</v>
      </c>
      <c r="O10" s="27" t="s">
        <v>317</v>
      </c>
      <c r="P10" s="27" t="s">
        <v>857</v>
      </c>
      <c r="Q10" s="27" t="s">
        <v>862</v>
      </c>
    </row>
    <row r="11" spans="1:17" x14ac:dyDescent="0.3">
      <c r="M11" s="3">
        <v>4</v>
      </c>
      <c r="N11" s="3" t="s">
        <v>1027</v>
      </c>
      <c r="O11" s="3" t="s">
        <v>702</v>
      </c>
      <c r="P11" s="27" t="s">
        <v>857</v>
      </c>
      <c r="Q11" s="27" t="s">
        <v>866</v>
      </c>
    </row>
    <row r="12" spans="1:17" x14ac:dyDescent="0.3">
      <c r="M12" s="3">
        <v>6</v>
      </c>
      <c r="N12" s="3" t="s">
        <v>1029</v>
      </c>
      <c r="O12" s="3" t="s">
        <v>720</v>
      </c>
      <c r="P12" s="27" t="s">
        <v>857</v>
      </c>
      <c r="Q12" s="3" t="s">
        <v>1032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2026-05-25T18:08:06Z</dcterms:modified>
</cp:coreProperties>
</file>
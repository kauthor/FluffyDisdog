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2CCCD2F7-8981-423A-A9E2-06DF14C02226}" xr6:coauthVersionLast="47" xr6:coauthVersionMax="47" xr10:uidLastSave="{00000000-0000-0000-0000-000000000000}"/>
  <bookViews>
    <workbookView xWindow="-120" yWindow="-120" windowWidth="38640" windowHeight="21120" firstSheet="2" activeTab="2" xr2:uid="{45462037-102E-4AFE-BBB3-3E04BFBB3D4E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  <sheet name="06.PackData" sheetId="8" r:id="rId8"/>
    <sheet name="07.GachaData" sheetId="9" r:id="rId9"/>
    <sheet name="08.ShopItemData" sheetId="11" r:id="rId10"/>
    <sheet name="09.ShopData" sheetId="10" r:id="rId11"/>
    <sheet name="10.MapData" sheetId="12" r:id="rId12"/>
    <sheet name="11.RequestData" sheetId="13" r:id="rId13"/>
    <sheet name="12.RequestWeightData" sheetId="14" r:id="rId14"/>
    <sheet name="13.BoxData" sheetId="16" r:id="rId15"/>
    <sheet name="14.BoxItemData" sheetId="15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3" i="9" l="1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45" i="9"/>
  <c r="F146" i="9"/>
  <c r="F147" i="9"/>
  <c r="F148" i="9"/>
  <c r="F149" i="9"/>
  <c r="F150" i="9"/>
  <c r="F151" i="9"/>
  <c r="F152" i="9"/>
  <c r="A145" i="9"/>
  <c r="A146" i="9"/>
  <c r="A147" i="9"/>
  <c r="A148" i="9"/>
  <c r="A149" i="9"/>
  <c r="A150" i="9"/>
  <c r="A151" i="9"/>
  <c r="A152" i="9"/>
  <c r="F137" i="9"/>
  <c r="F138" i="9"/>
  <c r="F139" i="9"/>
  <c r="F140" i="9"/>
  <c r="F141" i="9"/>
  <c r="F142" i="9"/>
  <c r="F143" i="9"/>
  <c r="F144" i="9"/>
  <c r="A137" i="9"/>
  <c r="A138" i="9"/>
  <c r="A139" i="9"/>
  <c r="A140" i="9"/>
  <c r="A141" i="9"/>
  <c r="A142" i="9"/>
  <c r="A143" i="9"/>
  <c r="A144" i="9"/>
  <c r="A129" i="9"/>
  <c r="A130" i="9"/>
  <c r="A131" i="9"/>
  <c r="A132" i="9"/>
  <c r="A133" i="9"/>
  <c r="A134" i="9"/>
  <c r="A135" i="9"/>
  <c r="A136" i="9"/>
  <c r="F129" i="9"/>
  <c r="F130" i="9"/>
  <c r="F131" i="9"/>
  <c r="F132" i="9"/>
  <c r="F133" i="9"/>
  <c r="F134" i="9"/>
  <c r="F135" i="9"/>
  <c r="F136" i="9"/>
  <c r="D3" i="15"/>
  <c r="D4" i="15"/>
  <c r="D5" i="15"/>
  <c r="D6" i="15"/>
  <c r="D7" i="15"/>
  <c r="D8" i="15"/>
  <c r="D2" i="15"/>
  <c r="A117" i="9"/>
  <c r="A118" i="9"/>
  <c r="A119" i="9"/>
  <c r="A120" i="9"/>
  <c r="A121" i="9"/>
  <c r="A122" i="9"/>
  <c r="A123" i="9"/>
  <c r="A124" i="9"/>
  <c r="A125" i="9"/>
  <c r="A126" i="9"/>
  <c r="A127" i="9"/>
  <c r="A128" i="9"/>
  <c r="F117" i="9"/>
  <c r="F128" i="9"/>
  <c r="F127" i="9"/>
  <c r="F126" i="9"/>
  <c r="F125" i="9"/>
  <c r="F124" i="9"/>
  <c r="F123" i="9"/>
  <c r="F122" i="9"/>
  <c r="F121" i="9"/>
  <c r="F120" i="9"/>
  <c r="F119" i="9"/>
  <c r="F118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F116" i="9"/>
  <c r="A116" i="9"/>
  <c r="F115" i="9"/>
  <c r="A115" i="9"/>
  <c r="F114" i="9"/>
  <c r="A114" i="9"/>
  <c r="F113" i="9"/>
  <c r="A113" i="9"/>
  <c r="F112" i="9"/>
  <c r="A112" i="9"/>
  <c r="F111" i="9"/>
  <c r="A111" i="9"/>
  <c r="F110" i="9"/>
  <c r="A110" i="9"/>
  <c r="F109" i="9"/>
  <c r="A109" i="9"/>
  <c r="F108" i="9"/>
  <c r="A108" i="9"/>
  <c r="F107" i="9"/>
  <c r="A107" i="9"/>
  <c r="F106" i="9"/>
  <c r="A106" i="9"/>
  <c r="F105" i="9"/>
  <c r="A105" i="9"/>
  <c r="F104" i="9"/>
  <c r="A104" i="9"/>
  <c r="F103" i="9"/>
  <c r="A103" i="9"/>
  <c r="F102" i="9"/>
  <c r="A102" i="9"/>
  <c r="F101" i="9"/>
  <c r="A101" i="9"/>
  <c r="F100" i="9"/>
  <c r="A100" i="9"/>
  <c r="F99" i="9"/>
  <c r="A99" i="9"/>
  <c r="F98" i="9"/>
  <c r="A98" i="9"/>
  <c r="F97" i="9"/>
  <c r="A97" i="9"/>
  <c r="F96" i="9"/>
  <c r="A96" i="9"/>
  <c r="F95" i="9"/>
  <c r="A95" i="9"/>
  <c r="F94" i="9"/>
  <c r="A94" i="9"/>
  <c r="F93" i="9"/>
  <c r="A93" i="9"/>
  <c r="F92" i="9"/>
  <c r="A92" i="9"/>
  <c r="F91" i="9"/>
  <c r="A91" i="9"/>
  <c r="F90" i="9"/>
  <c r="A90" i="9"/>
  <c r="F89" i="9"/>
  <c r="A89" i="9"/>
  <c r="F88" i="9"/>
  <c r="A88" i="9"/>
  <c r="F87" i="9"/>
  <c r="A87" i="9"/>
  <c r="F86" i="9"/>
  <c r="A86" i="9"/>
  <c r="F85" i="9"/>
  <c r="A85" i="9"/>
  <c r="F84" i="9"/>
  <c r="A84" i="9"/>
  <c r="F83" i="9"/>
  <c r="A83" i="9"/>
  <c r="F82" i="9"/>
  <c r="A82" i="9"/>
  <c r="F81" i="9"/>
  <c r="A81" i="9"/>
  <c r="F80" i="9"/>
  <c r="A80" i="9"/>
  <c r="F79" i="9"/>
  <c r="A79" i="9"/>
  <c r="F78" i="9"/>
  <c r="A78" i="9"/>
  <c r="F77" i="9"/>
  <c r="A77" i="9"/>
  <c r="F76" i="9"/>
  <c r="A76" i="9"/>
  <c r="F75" i="9"/>
  <c r="A75" i="9"/>
  <c r="F74" i="9"/>
  <c r="A74" i="9"/>
  <c r="F73" i="9"/>
  <c r="A73" i="9"/>
  <c r="F72" i="9"/>
  <c r="A72" i="9"/>
  <c r="F3" i="9" l="1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2" i="9"/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<sst xmlns="http://schemas.openxmlformats.org/spreadsheetml/2006/main" count="2013" uniqueCount="1367">
  <si>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</si>
  <si>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</si>
  <si>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</si>
  <si>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</si>
  <si>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</si>
  <si>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</si>
  <si>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</si>
  <si>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</si>
  <si>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</si>
  <si>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</si>
  <si>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</si>
  <si>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</si>
  <si>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</si>
  <si>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</si>
  <si>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</si>
  <si>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</si>
  <si>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</si>
  <si>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</si>
  <si>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</si>
  <si>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</si>
  <si>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</si>
  <si>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</si>
  <si>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</si>
  <si>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</si>
  <si>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강화 손잡이</t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</si>
  <si>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</si>
  <si>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</si>
  <si>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</si>
  <si>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유물을 가진 시점을 기준으로 도구 태그 카드가 파괴되었을 경우 1스택 증가. 스테이지 클리어 시 스택의 따른 골드를 제공한다.</t>
  </si>
  <si>
    <t>강화되지 않은(+가 붙지않은) 도구 태그 카드의 파괴를 방지합니다.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</si>
  <si>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</si>
  <si>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</si>
  <si>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</si>
  <si>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</si>
  <si>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</si>
  <si>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1x1 단일 타일 파괴 카드로 타일을 파괴할 때, x배수의 점수를 획득한다.</t>
  </si>
  <si>
    <t>카드 한장으로 8칸 이상 파괴 할 경우, x배수의 점수를 획득한다.</t>
    <phoneticPr fontId="2" type="noConversion"/>
  </si>
  <si>
    <t>고대의 나침반</t>
  </si>
  <si>
    <t>매 스테이지 처음으로 사용되는 도구 카드는 인접한 타일 하나를 추가로 파괴합니다. (무작위 방향 상하좌우)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</si>
  <si>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</si>
  <si>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</si>
  <si>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</si>
  <si>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상점 의뢰시 실패 확률 x% 감소</t>
  </si>
  <si>
    <t>타일 파괴 실패 시, 해당 타일이 x% 확률로 균열 타일로 변경된다.</t>
  </si>
  <si>
    <t>균열 타일 파괴 시, +x 점수 추가</t>
  </si>
  <si>
    <t>완벽한 도구함</t>
  </si>
  <si>
    <t>드로우 시 강화된 도구 카드 1개당 +X 골드</t>
  </si>
  <si>
    <t>잔상 타일을 타격 지점으로 선택하여 타일 파괴시, +x배수의 점수를 제공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</si>
  <si>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</si>
  <si>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</si>
  <si>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</si>
  <si>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</si>
  <si>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</si>
  <si>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</si>
  <si>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</si>
  <si>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</si>
  <si>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</si>
  <si>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</si>
  <si>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</si>
  <si>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</si>
  <si>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</si>
  <si>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</si>
  <si>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</si>
  <si>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</si>
  <si>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</si>
  <si>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</si>
  <si>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</si>
  <si>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</si>
  <si>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</si>
  <si>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</si>
  <si>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</si>
  <si>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</si>
  <si>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</si>
  <si>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</si>
  <si>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</si>
  <si>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</si>
  <si>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</si>
  <si>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</si>
  <si>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</si>
  <si>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</si>
  <si>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</si>
  <si>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</si>
  <si>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</si>
  <si>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</si>
  <si>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</si>
  <si>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</si>
  <si>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</si>
  <si>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</si>
  <si>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</si>
  <si>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</si>
  <si>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</si>
  <si>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</si>
  <si>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</si>
  <si>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</si>
  <si>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</si>
  <si>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</si>
  <si>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</si>
  <si>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</si>
  <si>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</si>
  <si>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</si>
  <si>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</si>
  <si>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</si>
  <si>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</si>
  <si>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</si>
  <si>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</si>
  <si>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</si>
  <si>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</si>
  <si>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</si>
  <si>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</si>
  <si>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</si>
  <si>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</si>
  <si>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</si>
  <si>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</si>
  <si>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</si>
  <si>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</si>
  <si>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</si>
  <si>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</si>
  <si>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</si>
  <si>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</si>
  <si>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</si>
  <si>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</si>
  <si>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</si>
  <si>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</si>
  <si>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</si>
  <si>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</si>
  <si>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</si>
  <si>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</si>
  <si>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</si>
  <si>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</si>
  <si>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</si>
  <si>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</si>
  <si>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</si>
  <si>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</si>
  <si>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</si>
  <si>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</si>
  <si>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</si>
  <si>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</si>
  <si>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</si>
  <si>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</si>
  <si>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</si>
  <si>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</si>
  <si>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</si>
  <si>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</si>
  <si>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</si>
  <si>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</si>
  <si>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</si>
  <si>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</si>
  <si>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</si>
  <si>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</si>
  <si>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</si>
  <si>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</si>
  <si>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</si>
  <si>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</si>
  <si>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</si>
  <si>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</si>
  <si>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</si>
  <si>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</si>
  <si>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</si>
  <si>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</si>
  <si>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</si>
  <si>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</si>
  <si>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</si>
  <si>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</si>
  <si>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</si>
  <si>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</si>
  <si>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</si>
  <si>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</si>
  <si>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</si>
  <si>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</si>
  <si>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</si>
  <si>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</si>
  <si>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</si>
  <si>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</si>
  <si>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</si>
  <si>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</si>
  <si>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</si>
  <si>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</si>
  <si>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</si>
  <si>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</si>
  <si>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</si>
  <si>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</si>
  <si>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</si>
  <si>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</si>
  <si>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</si>
  <si>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</si>
  <si>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</si>
  <si>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</si>
  <si>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</si>
  <si>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</si>
  <si>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</si>
  <si>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</si>
  <si>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</si>
  <si>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</si>
  <si>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</si>
  <si>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</si>
  <si>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</si>
  <si>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</si>
  <si>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</si>
  <si>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</si>
  <si>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</si>
  <si>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</si>
  <si>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</si>
  <si>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</si>
  <si>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</si>
  <si>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</si>
  <si>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</si>
  <si>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</si>
  <si>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</si>
  <si>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</si>
  <si>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</si>
  <si>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</si>
  <si>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</si>
  <si>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</si>
  <si>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</si>
  <si>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</si>
  <si>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</si>
  <si>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</si>
  <si>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</si>
  <si>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</si>
  <si>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</si>
  <si>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</si>
  <si>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</si>
  <si>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</si>
  <si>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</si>
  <si>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</si>
  <si>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</si>
  <si>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</si>
  <si>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</si>
  <si>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</si>
  <si>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</si>
  <si>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</si>
  <si>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</si>
  <si>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</si>
  <si>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</si>
  <si>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</si>
  <si>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</si>
  <si>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</si>
  <si>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</si>
  <si>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</si>
  <si>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</si>
  <si>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</si>
  <si>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</si>
  <si>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</si>
  <si>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</si>
  <si>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</si>
  <si>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</si>
  <si>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</si>
  <si>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</si>
  <si>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</si>
  <si>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</si>
  <si>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</si>
  <si>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</si>
  <si>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</si>
  <si>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</si>
  <si>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</si>
  <si>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</si>
  <si>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</si>
  <si>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</si>
  <si>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</si>
  <si>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</si>
  <si>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</si>
  <si>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</si>
  <si>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</si>
  <si>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</si>
  <si>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</si>
  <si>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</si>
  <si>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</si>
  <si>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</si>
  <si>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</si>
  <si>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</si>
  <si>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견습 지팡이</t>
    <phoneticPr fontId="2" type="noConversion"/>
  </si>
  <si>
    <t>Card_Novice_Wand</t>
    <phoneticPr fontId="2" type="noConversion"/>
  </si>
  <si>
    <t>Card_Novice_Wand_Name</t>
    <phoneticPr fontId="2" type="noConversion"/>
  </si>
  <si>
    <t>Card_Novice_Wand_Des</t>
    <phoneticPr fontId="2" type="noConversion"/>
  </si>
  <si>
    <t>Card_Novice_Wand_Enhanced</t>
    <phoneticPr fontId="2" type="noConversion"/>
  </si>
  <si>
    <t>Card_Novice_Wand_Enhanced_Name</t>
    <phoneticPr fontId="2" type="noConversion"/>
  </si>
  <si>
    <t>Card_Novice_Wand_Enhanced_Des</t>
    <phoneticPr fontId="2" type="noConversion"/>
  </si>
  <si>
    <t>견습 지팡이+</t>
    <phoneticPr fontId="2" type="noConversion"/>
  </si>
  <si>
    <t>마력 화살</t>
    <phoneticPr fontId="2" type="noConversion"/>
  </si>
  <si>
    <t>마력 화살+</t>
    <phoneticPr fontId="2" type="noConversion"/>
  </si>
  <si>
    <t>번뜩임</t>
    <phoneticPr fontId="2" type="noConversion"/>
  </si>
  <si>
    <t>번뜩임+</t>
    <phoneticPr fontId="2" type="noConversion"/>
  </si>
  <si>
    <t>마력 찌르기</t>
    <phoneticPr fontId="2" type="noConversion"/>
  </si>
  <si>
    <t>마력 찌르기+</t>
    <phoneticPr fontId="2" type="noConversion"/>
  </si>
  <si>
    <t>마력의 창</t>
    <phoneticPr fontId="2" type="noConversion"/>
  </si>
  <si>
    <t>마력의 창+</t>
    <phoneticPr fontId="2" type="noConversion"/>
  </si>
  <si>
    <t>마력 베기</t>
    <phoneticPr fontId="2" type="noConversion"/>
  </si>
  <si>
    <t>마력의 검</t>
    <phoneticPr fontId="2" type="noConversion"/>
  </si>
  <si>
    <t>마력 베기+</t>
    <phoneticPr fontId="2" type="noConversion"/>
  </si>
  <si>
    <t>마력의 검+</t>
    <phoneticPr fontId="2" type="noConversion"/>
  </si>
  <si>
    <t>마력의 발톱</t>
    <phoneticPr fontId="2" type="noConversion"/>
  </si>
  <si>
    <t>마력의 발톱+</t>
    <phoneticPr fontId="2" type="noConversion"/>
  </si>
  <si>
    <t>마력 포탄</t>
    <phoneticPr fontId="2" type="noConversion"/>
  </si>
  <si>
    <t>마력 포탄+</t>
    <phoneticPr fontId="2" type="noConversion"/>
  </si>
  <si>
    <t>개구리</t>
    <phoneticPr fontId="2" type="noConversion"/>
  </si>
  <si>
    <t>개구리+</t>
    <phoneticPr fontId="2" type="noConversion"/>
  </si>
  <si>
    <t>마력 부여</t>
    <phoneticPr fontId="2" type="noConversion"/>
  </si>
  <si>
    <t>마력 부여+</t>
    <phoneticPr fontId="2" type="noConversion"/>
  </si>
  <si>
    <t>발화</t>
    <phoneticPr fontId="2" type="noConversion"/>
  </si>
  <si>
    <t>발화+</t>
    <phoneticPr fontId="2" type="noConversion"/>
  </si>
  <si>
    <t>화염 폭발</t>
    <phoneticPr fontId="2" type="noConversion"/>
  </si>
  <si>
    <t>화염 폭발+</t>
    <phoneticPr fontId="2" type="noConversion"/>
  </si>
  <si>
    <t>잔불</t>
    <phoneticPr fontId="2" type="noConversion"/>
  </si>
  <si>
    <t>잔불+</t>
    <phoneticPr fontId="2" type="noConversion"/>
  </si>
  <si>
    <t>화염 벽</t>
    <phoneticPr fontId="2" type="noConversion"/>
  </si>
  <si>
    <t>화염 벽+</t>
    <phoneticPr fontId="2" type="noConversion"/>
  </si>
  <si>
    <t>연쇄 발화</t>
    <phoneticPr fontId="2" type="noConversion"/>
  </si>
  <si>
    <t>연쇄 발화+</t>
    <phoneticPr fontId="2" type="noConversion"/>
  </si>
  <si>
    <t>볼케이노</t>
    <phoneticPr fontId="2" type="noConversion"/>
  </si>
  <si>
    <t>볼케이노+</t>
    <phoneticPr fontId="2" type="noConversion"/>
  </si>
  <si>
    <t>냉각</t>
    <phoneticPr fontId="2" type="noConversion"/>
  </si>
  <si>
    <t>냉각+</t>
    <phoneticPr fontId="2" type="noConversion"/>
  </si>
  <si>
    <t>냉기 폭발</t>
    <phoneticPr fontId="2" type="noConversion"/>
  </si>
  <si>
    <t>냉기 폭발+</t>
    <phoneticPr fontId="2" type="noConversion"/>
  </si>
  <si>
    <t>퍼져나가는 냉기</t>
    <phoneticPr fontId="2" type="noConversion"/>
  </si>
  <si>
    <t>퍼져나가는 냉기+</t>
    <phoneticPr fontId="2" type="noConversion"/>
  </si>
  <si>
    <t>얼음 검</t>
    <phoneticPr fontId="2" type="noConversion"/>
  </si>
  <si>
    <t>얼음 검+</t>
    <phoneticPr fontId="2" type="noConversion"/>
  </si>
  <si>
    <t>얼음 창</t>
    <phoneticPr fontId="2" type="noConversion"/>
  </si>
  <si>
    <t>얼음 창+</t>
    <phoneticPr fontId="2" type="noConversion"/>
  </si>
  <si>
    <t>얼음 화살</t>
    <phoneticPr fontId="2" type="noConversion"/>
  </si>
  <si>
    <t>얼음 화살+</t>
    <phoneticPr fontId="2" type="noConversion"/>
  </si>
  <si>
    <t>전류</t>
    <phoneticPr fontId="2" type="noConversion"/>
  </si>
  <si>
    <t>전류+</t>
    <phoneticPr fontId="2" type="noConversion"/>
  </si>
  <si>
    <t>전기 폭풍</t>
    <phoneticPr fontId="2" type="noConversion"/>
  </si>
  <si>
    <t>전기 폭풍+</t>
    <phoneticPr fontId="2" type="noConversion"/>
  </si>
  <si>
    <t>과전류</t>
    <phoneticPr fontId="2" type="noConversion"/>
  </si>
  <si>
    <t>과전류+</t>
    <phoneticPr fontId="2" type="noConversion"/>
  </si>
  <si>
    <t>뇌창</t>
    <phoneticPr fontId="2" type="noConversion"/>
  </si>
  <si>
    <t>뇌창+</t>
    <phoneticPr fontId="2" type="noConversion"/>
  </si>
  <si>
    <t>스파크</t>
    <phoneticPr fontId="2" type="noConversion"/>
  </si>
  <si>
    <t>스파크+</t>
    <phoneticPr fontId="2" type="noConversion"/>
  </si>
  <si>
    <t>벼락</t>
    <phoneticPr fontId="2" type="noConversion"/>
  </si>
  <si>
    <t>벼락+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</si>
  <si>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</si>
  <si>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</si>
  <si>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</si>
  <si>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</si>
  <si>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</si>
  <si>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Card_Mana_Arrow</t>
    <phoneticPr fontId="2" type="noConversion"/>
  </si>
  <si>
    <t>Card_Mana_Arrow_Name</t>
    <phoneticPr fontId="2" type="noConversion"/>
  </si>
  <si>
    <t>Card_Mana_Arrow_Des</t>
    <phoneticPr fontId="2" type="noConversion"/>
  </si>
  <si>
    <t>Card_Mana_Arrow_Enhanced</t>
    <phoneticPr fontId="2" type="noConversion"/>
  </si>
  <si>
    <t>Card_Mana_Arrow_Enhanced_Name</t>
    <phoneticPr fontId="2" type="noConversion"/>
  </si>
  <si>
    <t>Card_Mana_Arrow_Enhanced_Des</t>
    <phoneticPr fontId="2" type="noConversion"/>
  </si>
  <si>
    <t>Card_Sparkle</t>
    <phoneticPr fontId="2" type="noConversion"/>
  </si>
  <si>
    <t>Card_Sparkle_Enhanced</t>
    <phoneticPr fontId="2" type="noConversion"/>
  </si>
  <si>
    <t>Card_Sparkle_Name</t>
    <phoneticPr fontId="2" type="noConversion"/>
  </si>
  <si>
    <t>Card_Sparkle_Enhanced_Name</t>
    <phoneticPr fontId="2" type="noConversion"/>
  </si>
  <si>
    <t>Card_Sparkle_Des</t>
    <phoneticPr fontId="2" type="noConversion"/>
  </si>
  <si>
    <t>Card_Sparkle_Enhanced_Des</t>
    <phoneticPr fontId="2" type="noConversion"/>
  </si>
  <si>
    <t>Card_Mana_Pierce</t>
    <phoneticPr fontId="2" type="noConversion"/>
  </si>
  <si>
    <t>Card_Mana_Pierce_Enhanced</t>
    <phoneticPr fontId="2" type="noConversion"/>
  </si>
  <si>
    <t>Card_Mana_Pierce_Name</t>
    <phoneticPr fontId="2" type="noConversion"/>
  </si>
  <si>
    <t>Card_Mana_Pierce_Enhanced_Name</t>
    <phoneticPr fontId="2" type="noConversion"/>
  </si>
  <si>
    <t>Card_Mana_Pierce_Des</t>
    <phoneticPr fontId="2" type="noConversion"/>
  </si>
  <si>
    <t>Card_Mana_Pierce_Enhanced_Des</t>
    <phoneticPr fontId="2" type="noConversion"/>
  </si>
  <si>
    <t>Card_Magic_Arrow</t>
  </si>
  <si>
    <t>Card_Magic_Arrow_Enhanced</t>
  </si>
  <si>
    <t>Card_Magic_Pierce</t>
  </si>
  <si>
    <t>Card_Magic_Pierce_Enhanced</t>
  </si>
  <si>
    <t>Card_Magic_Spear</t>
  </si>
  <si>
    <t>Card_Magic_Slash</t>
  </si>
  <si>
    <t>Card_Magic_Slash_Enhanced</t>
  </si>
  <si>
    <t>Card_Magic_Sword</t>
  </si>
  <si>
    <t>Card_Magic_Claw</t>
  </si>
  <si>
    <t>Card_Magic_Claw</t>
    <phoneticPr fontId="2" type="noConversion"/>
  </si>
  <si>
    <t>Card_Magic_Cannon</t>
    <phoneticPr fontId="2" type="noConversion"/>
  </si>
  <si>
    <t>Card_Frog</t>
    <phoneticPr fontId="2" type="noConversion"/>
  </si>
  <si>
    <t>Card_Inchant_Magic</t>
    <phoneticPr fontId="2" type="noConversion"/>
  </si>
  <si>
    <t>Card_Ignite</t>
  </si>
  <si>
    <t>Card_Ignite</t>
    <phoneticPr fontId="2" type="noConversion"/>
  </si>
  <si>
    <t>Card_Flame_Explosion</t>
  </si>
  <si>
    <t>Card_Flame_Explosion</t>
    <phoneticPr fontId="2" type="noConversion"/>
  </si>
  <si>
    <t>Card_Ember</t>
  </si>
  <si>
    <t>Card_Ember</t>
    <phoneticPr fontId="2" type="noConversion"/>
  </si>
  <si>
    <t>Card_Flame_Wall</t>
  </si>
  <si>
    <t>Card_Flame_Wall</t>
    <phoneticPr fontId="2" type="noConversion"/>
  </si>
  <si>
    <t>Card_Chain_Ignition</t>
  </si>
  <si>
    <t>Card_Chain_Ignition</t>
    <phoneticPr fontId="2" type="noConversion"/>
  </si>
  <si>
    <t>Card_Volcano</t>
  </si>
  <si>
    <t>Card_Volcano</t>
    <phoneticPr fontId="2" type="noConversion"/>
  </si>
  <si>
    <t>Card_Freeze</t>
  </si>
  <si>
    <t>Card_Freeze</t>
    <phoneticPr fontId="2" type="noConversion"/>
  </si>
  <si>
    <t>Card_Frost_Blast</t>
  </si>
  <si>
    <t>Card_Frost_Blast</t>
    <phoneticPr fontId="2" type="noConversion"/>
  </si>
  <si>
    <t>Card_Spreading_Frost</t>
  </si>
  <si>
    <t>Card_Spreading_Frost</t>
    <phoneticPr fontId="2" type="noConversion"/>
  </si>
  <si>
    <t>Card_Ice_Sword</t>
  </si>
  <si>
    <t>Card_Ice_Sword</t>
    <phoneticPr fontId="2" type="noConversion"/>
  </si>
  <si>
    <t>Card_Ice_Spear</t>
  </si>
  <si>
    <t>Card_Ice_Spear</t>
    <phoneticPr fontId="2" type="noConversion"/>
  </si>
  <si>
    <t>Card_Ice_Arrow</t>
  </si>
  <si>
    <t>Card_Ice_Arrow</t>
    <phoneticPr fontId="2" type="noConversion"/>
  </si>
  <si>
    <t>Card_Lightning_Storm</t>
  </si>
  <si>
    <t>Card_Lightning_Storm</t>
    <phoneticPr fontId="2" type="noConversion"/>
  </si>
  <si>
    <t>Card_Current</t>
  </si>
  <si>
    <t>Card_Current</t>
    <phoneticPr fontId="2" type="noConversion"/>
  </si>
  <si>
    <t>Card_Overcurrent</t>
  </si>
  <si>
    <t>Card_Overcurrent</t>
    <phoneticPr fontId="2" type="noConversion"/>
  </si>
  <si>
    <t>Card_Lightning_Spear</t>
  </si>
  <si>
    <t>Card_Lightning_Spear</t>
    <phoneticPr fontId="2" type="noConversion"/>
  </si>
  <si>
    <t>Card_Spark</t>
  </si>
  <si>
    <t>Card_Spark</t>
    <phoneticPr fontId="2" type="noConversion"/>
  </si>
  <si>
    <t>Card_Thunderbolt</t>
  </si>
  <si>
    <t>Card_Thunderbolt</t>
    <phoneticPr fontId="2" type="noConversion"/>
  </si>
  <si>
    <t>Card_Magic_Spear_Enhanced</t>
    <phoneticPr fontId="2" type="noConversion"/>
  </si>
  <si>
    <t>Card_Magic_Sword_Enhanced</t>
    <phoneticPr fontId="2" type="noConversion"/>
  </si>
  <si>
    <t>Card_Magic_Claw_Enhanced</t>
    <phoneticPr fontId="2" type="noConversion"/>
  </si>
  <si>
    <t>Card_Magic_Cannon_Enhanced</t>
    <phoneticPr fontId="2" type="noConversion"/>
  </si>
  <si>
    <t>Card_Frog_Enhanced</t>
    <phoneticPr fontId="2" type="noConversion"/>
  </si>
  <si>
    <t>Card_Thunderbolt_Enhanced</t>
  </si>
  <si>
    <t>Card_Thunderbolt_Enhanced</t>
    <phoneticPr fontId="2" type="noConversion"/>
  </si>
  <si>
    <t>Card_Spark_Enhanced</t>
  </si>
  <si>
    <t>Card_Spark_Enhanced</t>
    <phoneticPr fontId="2" type="noConversion"/>
  </si>
  <si>
    <t>Card_Lightning_Spear_Enhanced</t>
  </si>
  <si>
    <t>Card_Lightning_Spear_Enhanced</t>
    <phoneticPr fontId="2" type="noConversion"/>
  </si>
  <si>
    <t>Card_Overcurrent_Enhanced</t>
  </si>
  <si>
    <t>Card_Overcurrent_Enhanced</t>
    <phoneticPr fontId="2" type="noConversion"/>
  </si>
  <si>
    <t>Card_Lightning_Storm_Enhanced</t>
  </si>
  <si>
    <t>Card_Lightning_Storm_Enhanced</t>
    <phoneticPr fontId="2" type="noConversion"/>
  </si>
  <si>
    <t>Card_Current_Enhanced</t>
  </si>
  <si>
    <t>Card_Current_Enhanced</t>
    <phoneticPr fontId="2" type="noConversion"/>
  </si>
  <si>
    <t>Card_Ice_Arrow_Enhanced</t>
  </si>
  <si>
    <t>Card_Ice_Arrow_Enhanced</t>
    <phoneticPr fontId="2" type="noConversion"/>
  </si>
  <si>
    <t>Card_Ice_Spear_Enhanced</t>
  </si>
  <si>
    <t>Card_Ice_Spear_Enhanced</t>
    <phoneticPr fontId="2" type="noConversion"/>
  </si>
  <si>
    <t>Card_Ice_Sword_Enhanced</t>
  </si>
  <si>
    <t>Card_Ice_Sword_Enhanced</t>
    <phoneticPr fontId="2" type="noConversion"/>
  </si>
  <si>
    <t>Card_Spreading_Frost_Enhanced</t>
  </si>
  <si>
    <t>Card_Spreading_Frost_Enhanced</t>
    <phoneticPr fontId="2" type="noConversion"/>
  </si>
  <si>
    <t>Card_Frost_Blast_Enhanced</t>
  </si>
  <si>
    <t>Card_Frost_Blast_Enhanced</t>
    <phoneticPr fontId="2" type="noConversion"/>
  </si>
  <si>
    <t>Card_Freeze_Enhanced</t>
  </si>
  <si>
    <t>Card_Freeze_Enhanced</t>
    <phoneticPr fontId="2" type="noConversion"/>
  </si>
  <si>
    <t>Card_Volcano_Enhanced</t>
  </si>
  <si>
    <t>Card_Volcano_Enhanced</t>
    <phoneticPr fontId="2" type="noConversion"/>
  </si>
  <si>
    <t>Card_Chain_Ignition_Enhanced</t>
  </si>
  <si>
    <t>Card_Chain_Ignition_Enhanced</t>
    <phoneticPr fontId="2" type="noConversion"/>
  </si>
  <si>
    <t>Card_Flame_Wall_Enhanced</t>
  </si>
  <si>
    <t>Card_Flame_Wall_Enhanced</t>
    <phoneticPr fontId="2" type="noConversion"/>
  </si>
  <si>
    <t>Card_Ember_Enhanced</t>
  </si>
  <si>
    <t>Card_Ember_Enhanced</t>
    <phoneticPr fontId="2" type="noConversion"/>
  </si>
  <si>
    <t>Card_Flame_Explosion_Enhanced</t>
  </si>
  <si>
    <t>Card_Flame_Explosion_Enhanced</t>
    <phoneticPr fontId="2" type="noConversion"/>
  </si>
  <si>
    <t>Card_Ignite_Enhanced</t>
  </si>
  <si>
    <t>Card_Ignite_Enhanced</t>
    <phoneticPr fontId="2" type="noConversion"/>
  </si>
  <si>
    <t>Card_Inchant_Magic_Enhanced</t>
    <phoneticPr fontId="2" type="noConversion"/>
  </si>
  <si>
    <t>Card_Magic_Spear_Name</t>
    <phoneticPr fontId="2" type="noConversion"/>
  </si>
  <si>
    <t>Card_Magic_Spear_Enhanced_Name</t>
    <phoneticPr fontId="2" type="noConversion"/>
  </si>
  <si>
    <t>Card_Magic_Slash_Name</t>
    <phoneticPr fontId="2" type="noConversion"/>
  </si>
  <si>
    <t>Card_Magic_Slash_Enhanced_Name</t>
    <phoneticPr fontId="2" type="noConversion"/>
  </si>
  <si>
    <t>Card_Magic_Sword_Name</t>
    <phoneticPr fontId="2" type="noConversion"/>
  </si>
  <si>
    <t>Card_Magic_Sword_Enhanced_Name</t>
    <phoneticPr fontId="2" type="noConversion"/>
  </si>
  <si>
    <t>Card_Magic_Claw_Name</t>
    <phoneticPr fontId="2" type="noConversion"/>
  </si>
  <si>
    <t>Card_Magic_Claw_Enhanced_Name</t>
    <phoneticPr fontId="2" type="noConversion"/>
  </si>
  <si>
    <t>Card_Magic_Cannon_Name</t>
    <phoneticPr fontId="2" type="noConversion"/>
  </si>
  <si>
    <t>Card_Magic_Cannon_Enhanced_Name</t>
    <phoneticPr fontId="2" type="noConversion"/>
  </si>
  <si>
    <t>Card_Frog_Name</t>
    <phoneticPr fontId="2" type="noConversion"/>
  </si>
  <si>
    <t>Card_Frog_Enhanced_Name</t>
    <phoneticPr fontId="2" type="noConversion"/>
  </si>
  <si>
    <t>Card_Inchant_Magic_Name</t>
    <phoneticPr fontId="2" type="noConversion"/>
  </si>
  <si>
    <t>Card_Inchant_Magic_Enhanced_Name</t>
    <phoneticPr fontId="2" type="noConversion"/>
  </si>
  <si>
    <t>Card_Ignite_Name</t>
    <phoneticPr fontId="2" type="noConversion"/>
  </si>
  <si>
    <t>Card_Ignite_Enhanced_Name</t>
    <phoneticPr fontId="2" type="noConversion"/>
  </si>
  <si>
    <t>Card_Flame_Explosion_Name</t>
    <phoneticPr fontId="2" type="noConversion"/>
  </si>
  <si>
    <t>Card_Flame_Explosion_Enhanced_Name</t>
    <phoneticPr fontId="2" type="noConversion"/>
  </si>
  <si>
    <t>Card_Ember_Name</t>
    <phoneticPr fontId="2" type="noConversion"/>
  </si>
  <si>
    <t>Card_Ember_Enhanced_Name</t>
    <phoneticPr fontId="2" type="noConversion"/>
  </si>
  <si>
    <t>Card_Flame_Wall_Name</t>
    <phoneticPr fontId="2" type="noConversion"/>
  </si>
  <si>
    <t>Card_Flame_Wall_Enhanced_Name</t>
    <phoneticPr fontId="2" type="noConversion"/>
  </si>
  <si>
    <t>Card_Chain_Ignition_Name</t>
    <phoneticPr fontId="2" type="noConversion"/>
  </si>
  <si>
    <t>Card_Chain_Ignition_Enhanced_Name</t>
    <phoneticPr fontId="2" type="noConversion"/>
  </si>
  <si>
    <t>Card_Volcano_Name</t>
    <phoneticPr fontId="2" type="noConversion"/>
  </si>
  <si>
    <t>Card_Volcano_Enhanced_Name</t>
    <phoneticPr fontId="2" type="noConversion"/>
  </si>
  <si>
    <t>Card_Freeze_Name</t>
    <phoneticPr fontId="2" type="noConversion"/>
  </si>
  <si>
    <t>Card_Freeze_Enhanced_Name</t>
    <phoneticPr fontId="2" type="noConversion"/>
  </si>
  <si>
    <t>Card_Frost_Blast_Name</t>
    <phoneticPr fontId="2" type="noConversion"/>
  </si>
  <si>
    <t>Card_Frost_Blast_Enhanced_Name</t>
    <phoneticPr fontId="2" type="noConversion"/>
  </si>
  <si>
    <t>Card_Spreading_Frost_Name</t>
    <phoneticPr fontId="2" type="noConversion"/>
  </si>
  <si>
    <t>Card_Spreading_Frost_Enhanced_Name</t>
    <phoneticPr fontId="2" type="noConversion"/>
  </si>
  <si>
    <t>Card_Ice_Sword_Name</t>
    <phoneticPr fontId="2" type="noConversion"/>
  </si>
  <si>
    <t>Card_Ice_Sword_Enhanced_Name</t>
    <phoneticPr fontId="2" type="noConversion"/>
  </si>
  <si>
    <t>Card_Ice_Spear_Name</t>
    <phoneticPr fontId="2" type="noConversion"/>
  </si>
  <si>
    <t>Card_Ice_Spear_Enhanced_Name</t>
    <phoneticPr fontId="2" type="noConversion"/>
  </si>
  <si>
    <t>Card_Ice_Arrow_Name</t>
    <phoneticPr fontId="2" type="noConversion"/>
  </si>
  <si>
    <t>Card_Ice_Arrow_Enhanced_Name</t>
    <phoneticPr fontId="2" type="noConversion"/>
  </si>
  <si>
    <t>Card_Current_Name</t>
    <phoneticPr fontId="2" type="noConversion"/>
  </si>
  <si>
    <t>Card_Current_Enhanced_Name</t>
    <phoneticPr fontId="2" type="noConversion"/>
  </si>
  <si>
    <t>Card_Lightning_Storm_Name</t>
    <phoneticPr fontId="2" type="noConversion"/>
  </si>
  <si>
    <t>Card_Lightning_Storm_Enhanced_Name</t>
    <phoneticPr fontId="2" type="noConversion"/>
  </si>
  <si>
    <t>Card_Overcurrent_Name</t>
    <phoneticPr fontId="2" type="noConversion"/>
  </si>
  <si>
    <t>Card_Overcurrent_Enhanced_Name</t>
    <phoneticPr fontId="2" type="noConversion"/>
  </si>
  <si>
    <t>Card_Lightning_Spear_Name</t>
    <phoneticPr fontId="2" type="noConversion"/>
  </si>
  <si>
    <t>Card_Lightning_Spear_Enhanced_Name</t>
    <phoneticPr fontId="2" type="noConversion"/>
  </si>
  <si>
    <t>Card_Spark_Name</t>
    <phoneticPr fontId="2" type="noConversion"/>
  </si>
  <si>
    <t>Card_Spark_Enhanced_Name</t>
    <phoneticPr fontId="2" type="noConversion"/>
  </si>
  <si>
    <t>Card_Thunderbolt_Name</t>
    <phoneticPr fontId="2" type="noConversion"/>
  </si>
  <si>
    <t>Card_Thunderbolt_Enhanced_Name</t>
    <phoneticPr fontId="2" type="noConversion"/>
  </si>
  <si>
    <t>Card_Magic_Spear_Des</t>
    <phoneticPr fontId="2" type="noConversion"/>
  </si>
  <si>
    <t>Card_Magic_Spear_Enhanced_Des</t>
    <phoneticPr fontId="2" type="noConversion"/>
  </si>
  <si>
    <t>Card_Magic_Slash_Des</t>
    <phoneticPr fontId="2" type="noConversion"/>
  </si>
  <si>
    <t>Card_Magic_Slash_Enhanced_Des</t>
    <phoneticPr fontId="2" type="noConversion"/>
  </si>
  <si>
    <t>Card_Magic_Sword_Des</t>
    <phoneticPr fontId="2" type="noConversion"/>
  </si>
  <si>
    <t>Card_Magic_Sword_Enhanced_Des</t>
    <phoneticPr fontId="2" type="noConversion"/>
  </si>
  <si>
    <t>Card_Magic_Claw_Des</t>
    <phoneticPr fontId="2" type="noConversion"/>
  </si>
  <si>
    <t>Card_Magic_Claw_Enhanced_Des</t>
    <phoneticPr fontId="2" type="noConversion"/>
  </si>
  <si>
    <t>Card_Magic_Cannon_Des</t>
    <phoneticPr fontId="2" type="noConversion"/>
  </si>
  <si>
    <t>Card_Magic_Cannon_Enhanced_Des</t>
    <phoneticPr fontId="2" type="noConversion"/>
  </si>
  <si>
    <t>Card_Frog_Des</t>
    <phoneticPr fontId="2" type="noConversion"/>
  </si>
  <si>
    <t>Card_Frog_Enhanced_Des</t>
    <phoneticPr fontId="2" type="noConversion"/>
  </si>
  <si>
    <t>Card_Inchant_Magic_Des</t>
    <phoneticPr fontId="2" type="noConversion"/>
  </si>
  <si>
    <t>Card_Inchant_Magic_Enhanced_Des</t>
    <phoneticPr fontId="2" type="noConversion"/>
  </si>
  <si>
    <t>Card_Ignite_Des</t>
    <phoneticPr fontId="2" type="noConversion"/>
  </si>
  <si>
    <t>Card_Ignite_Enhanced_Des</t>
    <phoneticPr fontId="2" type="noConversion"/>
  </si>
  <si>
    <t>Card_Flame_Explosion_Des</t>
    <phoneticPr fontId="2" type="noConversion"/>
  </si>
  <si>
    <t>Card_Flame_Explosion_Enhanced_Des</t>
    <phoneticPr fontId="2" type="noConversion"/>
  </si>
  <si>
    <t>Card_Ember_Des</t>
    <phoneticPr fontId="2" type="noConversion"/>
  </si>
  <si>
    <t>Card_Ember_Enhanced_Des</t>
    <phoneticPr fontId="2" type="noConversion"/>
  </si>
  <si>
    <t>Card_Flame_Wall_Des</t>
    <phoneticPr fontId="2" type="noConversion"/>
  </si>
  <si>
    <t>Card_Flame_Wall_Enhanced_Des</t>
    <phoneticPr fontId="2" type="noConversion"/>
  </si>
  <si>
    <t>Card_Chain_Ignition_Des</t>
    <phoneticPr fontId="2" type="noConversion"/>
  </si>
  <si>
    <t>Card_Chain_Ignition_Enhanced_Des</t>
    <phoneticPr fontId="2" type="noConversion"/>
  </si>
  <si>
    <t>Card_Volcano_Des</t>
    <phoneticPr fontId="2" type="noConversion"/>
  </si>
  <si>
    <t>Card_Volcano_Enhanced_Des</t>
    <phoneticPr fontId="2" type="noConversion"/>
  </si>
  <si>
    <t>Card_Freeze_Des</t>
    <phoneticPr fontId="2" type="noConversion"/>
  </si>
  <si>
    <t>Card_Freeze_Enhanced_Des</t>
    <phoneticPr fontId="2" type="noConversion"/>
  </si>
  <si>
    <t>Card_Frost_Blast_Des</t>
    <phoneticPr fontId="2" type="noConversion"/>
  </si>
  <si>
    <t>Card_Frost_Blast_Enhanced_Des</t>
    <phoneticPr fontId="2" type="noConversion"/>
  </si>
  <si>
    <t>Card_Spreading_Frost_Des</t>
    <phoneticPr fontId="2" type="noConversion"/>
  </si>
  <si>
    <t>Card_Spreading_Frost_Enhanced_Des</t>
    <phoneticPr fontId="2" type="noConversion"/>
  </si>
  <si>
    <t>Card_Ice_Sword_Des</t>
    <phoneticPr fontId="2" type="noConversion"/>
  </si>
  <si>
    <t>Card_Ice_Sword_Enhanced_Des</t>
    <phoneticPr fontId="2" type="noConversion"/>
  </si>
  <si>
    <t>Card_Ice_Spear_Des</t>
    <phoneticPr fontId="2" type="noConversion"/>
  </si>
  <si>
    <t>Card_Ice_Spear_Enhanced_Des</t>
    <phoneticPr fontId="2" type="noConversion"/>
  </si>
  <si>
    <t>Card_Ice_Arrow_Des</t>
    <phoneticPr fontId="2" type="noConversion"/>
  </si>
  <si>
    <t>Card_Ice_Arrow_Enhanced_Des</t>
    <phoneticPr fontId="2" type="noConversion"/>
  </si>
  <si>
    <t>Card_Current_Des</t>
    <phoneticPr fontId="2" type="noConversion"/>
  </si>
  <si>
    <t>Card_Current_Enhanced_Des</t>
    <phoneticPr fontId="2" type="noConversion"/>
  </si>
  <si>
    <t>Card_Lightning_Storm_Des</t>
    <phoneticPr fontId="2" type="noConversion"/>
  </si>
  <si>
    <t>Card_Lightning_Storm_Enhanced_Des</t>
    <phoneticPr fontId="2" type="noConversion"/>
  </si>
  <si>
    <t>Card_Overcurrent_Des</t>
    <phoneticPr fontId="2" type="noConversion"/>
  </si>
  <si>
    <t>Card_Overcurrent_Enhanced_Des</t>
    <phoneticPr fontId="2" type="noConversion"/>
  </si>
  <si>
    <t>Card_Lightning_Spear_Des</t>
    <phoneticPr fontId="2" type="noConversion"/>
  </si>
  <si>
    <t>Card_Lightning_Spear_Enhanced_Des</t>
    <phoneticPr fontId="2" type="noConversion"/>
  </si>
  <si>
    <t>Card_Spark_Des</t>
    <phoneticPr fontId="2" type="noConversion"/>
  </si>
  <si>
    <t>Card_Spark_Enhanced_Des</t>
    <phoneticPr fontId="2" type="noConversion"/>
  </si>
  <si>
    <t>Card_Thunderbolt_Des</t>
    <phoneticPr fontId="2" type="noConversion"/>
  </si>
  <si>
    <t>Card_Thunderbolt_Enhanced_Des</t>
    <phoneticPr fontId="2" type="noConversion"/>
  </si>
  <si>
    <t>Card_Magic_Slash</t>
    <phoneticPr fontId="2" type="noConversion"/>
  </si>
  <si>
    <t>Card_Magic_Sword</t>
    <phoneticPr fontId="2" type="noConversion"/>
  </si>
  <si>
    <t>무기</t>
    <phoneticPr fontId="2" type="noConversion"/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</si>
  <si>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</si>
  <si>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</si>
  <si>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</si>
  <si>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</si>
  <si>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</si>
  <si>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</si>
  <si>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</si>
  <si>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</si>
  <si>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</si>
  <si>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</si>
  <si>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</si>
  <si>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</si>
  <si>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</si>
  <si>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</si>
  <si>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</si>
  <si>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</si>
  <si>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</si>
  <si>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</si>
  <si>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</si>
  <si>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</si>
  <si>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</si>
  <si>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</si>
  <si>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</si>
  <si>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</si>
  <si>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</si>
  <si>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</si>
  <si>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</si>
  <si>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Card_Illust_101</t>
  </si>
  <si>
    <t>Card_Illust_105</t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</si>
  <si>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</si>
  <si>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</si>
  <si>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</si>
  <si>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</si>
  <si>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</si>
  <si>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</si>
  <si>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</si>
  <si>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</si>
  <si>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</si>
  <si>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</si>
  <si>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</si>
  <si>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</si>
  <si>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</si>
  <si>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</si>
  <si>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</si>
  <si>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</si>
  <si>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</si>
  <si>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</si>
  <si>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</si>
  <si>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</si>
  <si>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</si>
  <si>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</si>
  <si>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</si>
  <si>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</si>
  <si>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</si>
  <si>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</si>
  <si>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</si>
  <si>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</si>
  <si>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</si>
  <si>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</si>
  <si>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</si>
  <si>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</si>
  <si>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</si>
  <si>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</si>
  <si>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</si>
  <si>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</si>
  <si>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</si>
  <si>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</si>
  <si>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</si>
  <si>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</si>
  <si>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</si>
  <si>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</si>
  <si>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</si>
  <si>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</si>
  <si>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</si>
  <si>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</si>
  <si>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</si>
  <si>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</si>
  <si>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</si>
  <si>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</si>
  <si>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</si>
  <si>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</si>
  <si>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</si>
  <si>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</si>
  <si>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</si>
  <si>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</si>
  <si>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</si>
  <si>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</si>
  <si>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</si>
  <si>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</si>
  <si>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</si>
  <si>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</si>
  <si>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</si>
  <si>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</si>
  <si>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</si>
  <si>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</si>
  <si>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</si>
  <si>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</si>
  <si>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</si>
  <si>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타격 횟수 (정수)</t>
    <phoneticPr fontId="2" type="noConversion"/>
  </si>
  <si>
    <t>파괴 확률 (만분률)</t>
    <phoneticPr fontId="2" type="noConversion"/>
  </si>
  <si>
    <t>타격 지점 전체 타일 균열</t>
    <phoneticPr fontId="2" type="noConversion"/>
  </si>
  <si>
    <t>균열 확률 (만분률)</t>
    <phoneticPr fontId="2" type="noConversion"/>
  </si>
  <si>
    <t>타격된 타일이 '암흑 타일'일 경우 해당 타일을 밝힘</t>
    <phoneticPr fontId="2" type="noConversion"/>
  </si>
  <si>
    <t>타일 확인 확률 (만분률)</t>
    <phoneticPr fontId="2" type="noConversion"/>
  </si>
  <si>
    <t>도움, 방해 타일 타격시 골드 획득</t>
    <phoneticPr fontId="2" type="noConversion"/>
  </si>
  <si>
    <t>골드 획득량 (정수)</t>
    <phoneticPr fontId="2" type="noConversion"/>
  </si>
  <si>
    <t>다음 차례 (Value1)태그 카드 사용 시 골드 획득량 (Value2)증가</t>
    <phoneticPr fontId="2" type="noConversion"/>
  </si>
  <si>
    <t>05.TagData ID참조 (아이디)</t>
    <phoneticPr fontId="2" type="noConversion"/>
  </si>
  <si>
    <t>배율(실수)</t>
    <phoneticPr fontId="2" type="noConversion"/>
  </si>
  <si>
    <t>도움, 방해 타일 타격시 골드 획득/방해 타일 파괴</t>
    <phoneticPr fontId="2" type="noConversion"/>
  </si>
  <si>
    <t>타격 타일이 잔상 타일일 경우 인접한(상하좌우) 무작위 일반 타일 (value1)개를 (Value2) 확률로 파괴합니다.</t>
    <phoneticPr fontId="2" type="noConversion"/>
  </si>
  <si>
    <t>일반 타일 부수는 개수 (정수)</t>
    <phoneticPr fontId="2" type="noConversion"/>
  </si>
  <si>
    <t>타격 타일이 잔상 타일일 경우 인접한(상하좌우, 대각선) 무작위 일반 타일 (value1)개를 (Value2) 확률로 파괴합니다.</t>
    <phoneticPr fontId="2" type="noConversion"/>
  </si>
  <si>
    <t>타일을 (Value1)개 파괴할 경우 타격된 모든 타일 파괴</t>
    <phoneticPr fontId="2" type="noConversion"/>
  </si>
  <si>
    <t>파괴된 타일 중 균열 타일 (Value1)개당 (Value2) 골드 지급</t>
    <phoneticPr fontId="2" type="noConversion"/>
  </si>
  <si>
    <t>타일을 (Value1)개 파괴할 경우 황금 태그 카드 (Value2)장을 드로우(단, 덱에 황금 태그 카드가 없을 경우 드로우X)</t>
    <phoneticPr fontId="2" type="noConversion"/>
  </si>
  <si>
    <t>타일을 (Value1)개 파괴할 경우 가로 일반 타일 전체 파괴</t>
    <phoneticPr fontId="2" type="noConversion"/>
  </si>
  <si>
    <t>타일 파괴 개수 확인 (정수)</t>
    <phoneticPr fontId="2" type="noConversion"/>
  </si>
  <si>
    <t>균열 타일 파괴 개수 (정수)</t>
    <phoneticPr fontId="2" type="noConversion"/>
  </si>
  <si>
    <t>카드 드로우 장수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</si>
  <si>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</si>
  <si>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</si>
  <si>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</si>
  <si>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</si>
  <si>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</si>
  <si>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</si>
  <si>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</si>
  <si>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</si>
  <si>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</si>
  <si>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</si>
  <si>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</si>
  <si>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</si>
  <si>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</si>
  <si>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</si>
  <si>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</si>
  <si>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</si>
  <si>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</si>
  <si>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</si>
  <si>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</si>
  <si>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</si>
  <si>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</si>
  <si>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</si>
  <si>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</si>
  <si>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</si>
  <si>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</si>
  <si>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</si>
  <si>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</si>
  <si>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</si>
  <si>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</si>
  <si>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</si>
  <si>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</si>
  <si>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</si>
  <si>
    <t>카드 사용 시 파괴</t>
    <phoneticPr fontId="2" type="noConversion"/>
  </si>
  <si>
    <t>파괴 확률 증가 값(만분율)</t>
    <phoneticPr fontId="2" type="noConversion"/>
  </si>
  <si>
    <t>파괴 확률 최댓값(만분율)</t>
    <phoneticPr fontId="2" type="noConversion"/>
  </si>
  <si>
    <t>Card_Rake_Enhanced</t>
    <phoneticPr fontId="2" type="noConversion"/>
  </si>
  <si>
    <t>Card_Shovel_Enhanced</t>
    <phoneticPr fontId="2" type="noConversion"/>
  </si>
  <si>
    <t>Card_GoldenShovel</t>
    <phoneticPr fontId="2" type="noConversion"/>
  </si>
  <si>
    <t>Card_GoldenShovel_Enhanced</t>
    <phoneticPr fontId="2" type="noConversion"/>
  </si>
  <si>
    <t>Card_Axe</t>
    <phoneticPr fontId="2" type="noConversion"/>
  </si>
  <si>
    <t>Card_CrossChisel</t>
    <phoneticPr fontId="2" type="noConversion"/>
  </si>
  <si>
    <t>Card_CrossChisel_Enhanced</t>
    <phoneticPr fontId="2" type="noConversion"/>
  </si>
  <si>
    <t>Card_LargeScissors</t>
    <phoneticPr fontId="2" type="noConversion"/>
  </si>
  <si>
    <t>Card_LargeScissors_Enhanced</t>
    <phoneticPr fontId="2" type="noConversion"/>
  </si>
  <si>
    <t>relic101_Name</t>
  </si>
  <si>
    <t>relic101_Des</t>
  </si>
  <si>
    <t>relic102_Name</t>
  </si>
  <si>
    <t>relic102_Des</t>
  </si>
  <si>
    <t>relic103_Name</t>
  </si>
  <si>
    <t>relic103_Des</t>
  </si>
  <si>
    <t>relic104_Name</t>
  </si>
  <si>
    <t>relic104_Des</t>
  </si>
  <si>
    <t>relic105_Name</t>
  </si>
  <si>
    <t>relic105_Des</t>
  </si>
  <si>
    <t>relic106_Name</t>
  </si>
  <si>
    <t>relic106_Des</t>
  </si>
  <si>
    <t>relic107_Name</t>
  </si>
  <si>
    <t>relic107_Des</t>
  </si>
  <si>
    <t>relic108_Name</t>
  </si>
  <si>
    <t>relic108_Des</t>
  </si>
  <si>
    <t>relic109_Name</t>
  </si>
  <si>
    <t>relic109_Des</t>
  </si>
  <si>
    <t>relic110_Name</t>
  </si>
  <si>
    <t>relic110_Des</t>
  </si>
  <si>
    <t>relic111_Name</t>
  </si>
  <si>
    <t>relic111_Des</t>
  </si>
  <si>
    <t>relic112_Name</t>
  </si>
  <si>
    <t>relic112_Des</t>
  </si>
  <si>
    <t>relic113_Name</t>
  </si>
  <si>
    <t>relic113_Des</t>
  </si>
  <si>
    <t>relic114_Name</t>
  </si>
  <si>
    <t>relic114_Des</t>
  </si>
  <si>
    <t>relic115_Name</t>
  </si>
  <si>
    <t>relic115_Des</t>
  </si>
  <si>
    <t>relic116_Name</t>
  </si>
  <si>
    <t>relic116_Des</t>
  </si>
  <si>
    <t>relic117_Name</t>
  </si>
  <si>
    <t>relic117_Des</t>
  </si>
  <si>
    <t>relic118_Name</t>
  </si>
  <si>
    <t>relic118_Des</t>
  </si>
  <si>
    <t>relic119_Name</t>
  </si>
  <si>
    <t>relic119_Des</t>
  </si>
  <si>
    <t>relic120_Name</t>
  </si>
  <si>
    <t>relic120_Des</t>
  </si>
  <si>
    <t>relic121_Name</t>
  </si>
  <si>
    <t>relic121_Des</t>
  </si>
  <si>
    <t>relic122_Name</t>
  </si>
  <si>
    <t>relic122_Des</t>
  </si>
  <si>
    <t>relic201_Name</t>
  </si>
  <si>
    <t>relic201_Des</t>
  </si>
  <si>
    <t>relic202_Name</t>
  </si>
  <si>
    <t>relic202_Des</t>
  </si>
  <si>
    <t>relic203_Name</t>
  </si>
  <si>
    <t>relic203_Des</t>
  </si>
  <si>
    <t>relic204_Name</t>
  </si>
  <si>
    <t>relic204_Des</t>
  </si>
  <si>
    <t>relic205_Name</t>
  </si>
  <si>
    <t>relic205_Des</t>
  </si>
  <si>
    <t>relic206_Name</t>
  </si>
  <si>
    <t>relic206_Des</t>
  </si>
  <si>
    <t>relic207_Name</t>
  </si>
  <si>
    <t>relic207_Des</t>
  </si>
  <si>
    <t>relic208_Name</t>
  </si>
  <si>
    <t>relic208_Des</t>
  </si>
  <si>
    <t>relic209_Name</t>
  </si>
  <si>
    <t>relic209_Des</t>
  </si>
  <si>
    <t>relic210_Name</t>
  </si>
  <si>
    <t>relic210_Des</t>
  </si>
  <si>
    <t>relic211_Name</t>
  </si>
  <si>
    <t>relic211_Des</t>
  </si>
  <si>
    <t>relic212_Name</t>
  </si>
  <si>
    <t>relic212_Des</t>
  </si>
  <si>
    <t>relic213_Name</t>
  </si>
  <si>
    <t>relic213_Des</t>
  </si>
  <si>
    <t>(Value1) 확률로 동일한 위치에 재타격(카드 재사용)</t>
    <phoneticPr fontId="2" type="noConversion"/>
  </si>
  <si>
    <t>연소 부여 성공시 연소 부여 확률을 (Value1)만큼 낮추고 위 칸에 위치에 카드 재사용</t>
    <phoneticPr fontId="2" type="noConversion"/>
  </si>
  <si>
    <t>연소 타일 파괴시 화염 태그 카드 (Value1)장 드로우</t>
    <phoneticPr fontId="2" type="noConversion"/>
  </si>
  <si>
    <t>연소 타일 파괴시 화염 태그 카드 (Value1)장 생성</t>
    <phoneticPr fontId="2" type="noConversion"/>
  </si>
  <si>
    <t>연소 타일 타격시 인접한 타일(4칸)을 파괴</t>
    <phoneticPr fontId="2" type="noConversion"/>
  </si>
  <si>
    <t>연소 타일 타격시 인접한 타일(8칸)을 파괴</t>
    <phoneticPr fontId="2" type="noConversion"/>
  </si>
  <si>
    <t>발동 확률 (만분률)</t>
    <phoneticPr fontId="2" type="noConversion"/>
  </si>
  <si>
    <t>감소 부여 확률 (만분률)</t>
    <phoneticPr fontId="2" type="noConversion"/>
  </si>
  <si>
    <t>카드 생성 장수 (정수)</t>
    <phoneticPr fontId="2" type="noConversion"/>
  </si>
  <si>
    <t>마법사의 붉은 돌</t>
    <phoneticPr fontId="2" type="noConversion"/>
  </si>
  <si>
    <t>마법사의 푸른 돌</t>
    <phoneticPr fontId="2" type="noConversion"/>
  </si>
  <si>
    <t>마법사의 보랏빛 돌</t>
    <phoneticPr fontId="2" type="noConversion"/>
  </si>
  <si>
    <t>마법사의 무지개석</t>
    <phoneticPr fontId="2" type="noConversion"/>
  </si>
  <si>
    <t>본래 #얼음,#전기 태그가 없는 #마법 카드에 #화염 태그 추가</t>
    <phoneticPr fontId="2" type="noConversion"/>
  </si>
  <si>
    <t>relic214</t>
  </si>
  <si>
    <t>relic215</t>
  </si>
  <si>
    <t>relic216</t>
  </si>
  <si>
    <t>relic217</t>
  </si>
  <si>
    <t>relic214_Name</t>
  </si>
  <si>
    <t>relic214_Des</t>
  </si>
  <si>
    <t>relic215_Name</t>
  </si>
  <si>
    <t>relic215_Des</t>
  </si>
  <si>
    <t>relic216_Name</t>
  </si>
  <si>
    <t>relic216_Des</t>
  </si>
  <si>
    <t>relic217_Name</t>
  </si>
  <si>
    <t>relic217_Des</t>
  </si>
  <si>
    <t>본래 #화염,#전기 태그가 없는 #마법 카드에 #얼음 태그 추가</t>
    <phoneticPr fontId="2" type="noConversion"/>
  </si>
  <si>
    <t>본래 #화염,#얼음 태그가 없는 #마법 카드에 #전기 태그 추가</t>
    <phoneticPr fontId="2" type="noConversion"/>
  </si>
  <si>
    <t>#화염#얼음#전기가 없는 #마법 카드에 매 턴 #화염, #얼음, #전기 중 하나를 순차적으로 부여</t>
    <phoneticPr fontId="2" type="noConversion"/>
  </si>
  <si>
    <t>불사조의 깃털</t>
    <phoneticPr fontId="2" type="noConversion"/>
  </si>
  <si>
    <t xml:space="preserve">불타는 마법 스크롤 </t>
    <phoneticPr fontId="2" type="noConversion"/>
  </si>
  <si>
    <t>얼어붙은 마법 스크롤</t>
    <phoneticPr fontId="2" type="noConversion"/>
  </si>
  <si>
    <t>번쩍이는 마법 스크롤</t>
    <phoneticPr fontId="2" type="noConversion"/>
  </si>
  <si>
    <t>다용도 횃불기름</t>
    <phoneticPr fontId="2" type="noConversion"/>
  </si>
  <si>
    <t>되살아난 불씨</t>
    <phoneticPr fontId="2" type="noConversion"/>
  </si>
  <si>
    <t>버려진 성냥갑</t>
    <phoneticPr fontId="2" type="noConversion"/>
  </si>
  <si>
    <t>불사조의 알</t>
    <phoneticPr fontId="2" type="noConversion"/>
  </si>
  <si>
    <t>촛불</t>
    <phoneticPr fontId="2" type="noConversion"/>
  </si>
  <si>
    <t>목탄</t>
    <phoneticPr fontId="2" type="noConversion"/>
  </si>
  <si>
    <t>그을린 망토</t>
    <phoneticPr fontId="2" type="noConversion"/>
  </si>
  <si>
    <t>그을린 왕관</t>
    <phoneticPr fontId="2" type="noConversion"/>
  </si>
  <si>
    <t>그을린 갑옷</t>
    <phoneticPr fontId="2" type="noConversion"/>
  </si>
  <si>
    <t>그을린 장검</t>
    <phoneticPr fontId="2" type="noConversion"/>
  </si>
  <si>
    <t>relic218</t>
  </si>
  <si>
    <t>relic218_Name</t>
  </si>
  <si>
    <t>relic218_Des</t>
  </si>
  <si>
    <t>relic219</t>
  </si>
  <si>
    <t>relic219_Name</t>
  </si>
  <si>
    <t>relic219_Des</t>
  </si>
  <si>
    <t>relic220</t>
  </si>
  <si>
    <t>relic220_Name</t>
  </si>
  <si>
    <t>relic220_Des</t>
  </si>
  <si>
    <t>relic221</t>
  </si>
  <si>
    <t>relic221_Name</t>
  </si>
  <si>
    <t>relic221_Des</t>
  </si>
  <si>
    <t>relic222</t>
  </si>
  <si>
    <t>relic222_Name</t>
  </si>
  <si>
    <t>relic222_Des</t>
  </si>
  <si>
    <t>relic223</t>
  </si>
  <si>
    <t>relic223_Name</t>
  </si>
  <si>
    <t>relic223_Des</t>
  </si>
  <si>
    <t>relic224</t>
  </si>
  <si>
    <t>relic224_Name</t>
  </si>
  <si>
    <t>relic224_Des</t>
  </si>
  <si>
    <t>relic225</t>
  </si>
  <si>
    <t>relic225_Name</t>
  </si>
  <si>
    <t>relic225_Des</t>
  </si>
  <si>
    <t>relic226</t>
  </si>
  <si>
    <t>relic226_Name</t>
  </si>
  <si>
    <t>relic226_Des</t>
  </si>
  <si>
    <t>relic227</t>
  </si>
  <si>
    <t>relic227_Name</t>
  </si>
  <si>
    <t>relic227_Des</t>
  </si>
  <si>
    <t>relic228</t>
  </si>
  <si>
    <t>relic228_Name</t>
  </si>
  <si>
    <t>relic228_Des</t>
  </si>
  <si>
    <t>relic229</t>
  </si>
  <si>
    <t>relic229_Name</t>
  </si>
  <si>
    <t>relic229_Des</t>
  </si>
  <si>
    <t>relic230</t>
  </si>
  <si>
    <t>relic230_Name</t>
  </si>
  <si>
    <t>relic230_Des</t>
  </si>
  <si>
    <t>relic231</t>
  </si>
  <si>
    <t>relic231_Name</t>
  </si>
  <si>
    <t>relic231_Des</t>
  </si>
  <si>
    <t>눈 오리</t>
    <phoneticPr fontId="2" type="noConversion"/>
  </si>
  <si>
    <t>녹지않는 얼음</t>
    <phoneticPr fontId="2" type="noConversion"/>
  </si>
  <si>
    <t>얼어붙은 뿌리</t>
    <phoneticPr fontId="2" type="noConversion"/>
  </si>
  <si>
    <t>얼음 폭죽</t>
    <phoneticPr fontId="2" type="noConversion"/>
  </si>
  <si>
    <t>얼음 도미노</t>
    <phoneticPr fontId="2" type="noConversion"/>
  </si>
  <si>
    <t>아이스크림</t>
    <phoneticPr fontId="2" type="noConversion"/>
  </si>
  <si>
    <t>떨어진 고드름</t>
    <phoneticPr fontId="2" type="noConversion"/>
  </si>
  <si>
    <t>얼어붙은 대검</t>
    <phoneticPr fontId="2" type="noConversion"/>
  </si>
  <si>
    <t>스케이트</t>
    <phoneticPr fontId="2" type="noConversion"/>
  </si>
  <si>
    <t>마지막 카드 사용 후 무작위 타일 1칸 파괴, #빙결 타일에 우선 적용</t>
    <phoneticPr fontId="2" type="noConversion"/>
  </si>
  <si>
    <t>전기석</t>
    <phoneticPr fontId="2" type="noConversion"/>
  </si>
  <si>
    <t>배터리</t>
    <phoneticPr fontId="2" type="noConversion"/>
  </si>
  <si>
    <t>스위치</t>
    <phoneticPr fontId="2" type="noConversion"/>
  </si>
  <si>
    <t>고무 장갑</t>
    <phoneticPr fontId="2" type="noConversion"/>
  </si>
  <si>
    <t>플라즈마 글로브</t>
    <phoneticPr fontId="2" type="noConversion"/>
  </si>
  <si>
    <t>퓨즈</t>
    <phoneticPr fontId="2" type="noConversion"/>
  </si>
  <si>
    <t>전선</t>
    <phoneticPr fontId="2" type="noConversion"/>
  </si>
  <si>
    <t>크고 빨간 버튼</t>
    <phoneticPr fontId="2" type="noConversion"/>
  </si>
  <si>
    <t>먹구름 플라스크</t>
    <phoneticPr fontId="2" type="noConversion"/>
  </si>
  <si>
    <t>피뢰침 자검</t>
    <phoneticPr fontId="2" type="noConversion"/>
  </si>
  <si>
    <t>매 턴 랜덤 타일 1개에 #감전 부여, #감전, 함정 타일에 발동하지 않음</t>
    <phoneticPr fontId="2" type="noConversion"/>
  </si>
  <si>
    <t>#감전 타일 파괴 시 점수를 얻지도 잃지도 않음</t>
    <phoneticPr fontId="2" type="noConversion"/>
  </si>
  <si>
    <t>relic232</t>
  </si>
  <si>
    <t>relic232_Name</t>
  </si>
  <si>
    <t>relic232_Des</t>
  </si>
  <si>
    <t>relic233</t>
  </si>
  <si>
    <t>relic233_Name</t>
  </si>
  <si>
    <t>relic233_Des</t>
  </si>
  <si>
    <t>relic234</t>
  </si>
  <si>
    <t>relic234_Name</t>
  </si>
  <si>
    <t>relic234_Des</t>
  </si>
  <si>
    <t>relic235</t>
  </si>
  <si>
    <t>relic235_Name</t>
  </si>
  <si>
    <t>relic235_Des</t>
  </si>
  <si>
    <t>relic236</t>
  </si>
  <si>
    <t>relic236_Name</t>
  </si>
  <si>
    <t>relic236_Des</t>
  </si>
  <si>
    <t>relic237</t>
  </si>
  <si>
    <t>relic237_Name</t>
  </si>
  <si>
    <t>relic237_Des</t>
  </si>
  <si>
    <t>relic238</t>
  </si>
  <si>
    <t>relic238_Name</t>
  </si>
  <si>
    <t>relic238_Des</t>
  </si>
  <si>
    <t>relic239</t>
  </si>
  <si>
    <t>relic239_Name</t>
  </si>
  <si>
    <t>relic239_Des</t>
  </si>
  <si>
    <t>relic240</t>
  </si>
  <si>
    <t>relic240_Name</t>
  </si>
  <si>
    <t>relic240_Des</t>
  </si>
  <si>
    <t>relic241</t>
  </si>
  <si>
    <t>relic241_Name</t>
  </si>
  <si>
    <t>relic241_Des</t>
  </si>
  <si>
    <t>relic242</t>
  </si>
  <si>
    <t>relic242_Name</t>
  </si>
  <si>
    <t>relic242_Des</t>
  </si>
  <si>
    <t>relic243</t>
  </si>
  <si>
    <t>relic243_Name</t>
  </si>
  <si>
    <t>relic243_Des</t>
  </si>
  <si>
    <t>relic244</t>
  </si>
  <si>
    <t>relic244_Name</t>
  </si>
  <si>
    <t>relic244_Des</t>
  </si>
  <si>
    <t>relic245</t>
  </si>
  <si>
    <t>relic245_Name</t>
  </si>
  <si>
    <t>relic245_Des</t>
  </si>
  <si>
    <t>relic246</t>
  </si>
  <si>
    <t>relic246_Name</t>
  </si>
  <si>
    <t>relic246_Des</t>
  </si>
  <si>
    <t>relic247</t>
  </si>
  <si>
    <t>relic247_Name</t>
  </si>
  <si>
    <t>relic247_Des</t>
  </si>
  <si>
    <t>relic248</t>
  </si>
  <si>
    <t>relic248_Name</t>
  </si>
  <si>
    <t>relic248_Des</t>
  </si>
  <si>
    <t>relic249</t>
  </si>
  <si>
    <t>relic249_Name</t>
  </si>
  <si>
    <t>relic249_Des</t>
  </si>
  <si>
    <t>relic250</t>
  </si>
  <si>
    <t>relic250_Name</t>
  </si>
  <si>
    <t>relic250_Des</t>
  </si>
  <si>
    <t>속성제어장치</t>
    <phoneticPr fontId="2" type="noConversion"/>
  </si>
  <si>
    <t>속성증폭장치</t>
    <phoneticPr fontId="2" type="noConversion"/>
  </si>
  <si>
    <t>냉각소화기</t>
    <phoneticPr fontId="2" type="noConversion"/>
  </si>
  <si>
    <t>초전도체</t>
    <phoneticPr fontId="2" type="noConversion"/>
  </si>
  <si>
    <t>과열회로</t>
    <phoneticPr fontId="2" type="noConversion"/>
  </si>
  <si>
    <t>삼위일체</t>
    <phoneticPr fontId="2" type="noConversion"/>
  </si>
  <si>
    <t>relic251</t>
  </si>
  <si>
    <t>relic251_Name</t>
  </si>
  <si>
    <t>relic251_Des</t>
  </si>
  <si>
    <t>relic252</t>
  </si>
  <si>
    <t>relic252_Name</t>
  </si>
  <si>
    <t>relic252_Des</t>
  </si>
  <si>
    <t>relic253</t>
  </si>
  <si>
    <t>relic253_Name</t>
  </si>
  <si>
    <t>relic253_Des</t>
  </si>
  <si>
    <t>relic254</t>
  </si>
  <si>
    <t>relic254_Name</t>
  </si>
  <si>
    <t>relic254_Des</t>
  </si>
  <si>
    <t>relic255</t>
  </si>
  <si>
    <t>relic255_Name</t>
  </si>
  <si>
    <t>relic255_Des</t>
  </si>
  <si>
    <t>relic256</t>
  </si>
  <si>
    <t>relic256_Name</t>
  </si>
  <si>
    <t>relic256_Des</t>
  </si>
  <si>
    <t>#빙결의 연쇄 파괴 효과 제거, #빙결 타일에 #감전이 부여되었을 때 인접한 #빙결 타일에 모두 #감전을 부여</t>
    <phoneticPr fontId="2" type="noConversion"/>
  </si>
  <si>
    <t>#화염,#마법 태그가 있는 카드의 #마법 태그 제거, 파괴확률/효과확률 (Value1)배</t>
    <phoneticPr fontId="2" type="noConversion"/>
  </si>
  <si>
    <t>#얼음,#마법 태그가 있는 카드의 #마법 태그 제거, 파괴확률/효과확률 (Value1)배</t>
    <phoneticPr fontId="2" type="noConversion"/>
  </si>
  <si>
    <t>#전기,#마법 태그가 있는 카드의 #마법 태그 제거, 파괴확률/효과확률 (Value1)배</t>
    <phoneticPr fontId="2" type="noConversion"/>
  </si>
  <si>
    <t>#화염 태그 카드 사용시, (Value1)%확률로 손패에 사용한 카드 생성</t>
    <phoneticPr fontId="2" type="noConversion"/>
  </si>
  <si>
    <t>#도구 카드에 #화염 태그 추가, 도구 카드 파괴 고정확률 +(Value1)%</t>
    <phoneticPr fontId="2" type="noConversion"/>
  </si>
  <si>
    <t>매 턴 각 #연소 타일이 (Value1)%확률로 연소를 고려하지않은 파괴 점수를 다시 얻음</t>
    <phoneticPr fontId="2" type="noConversion"/>
  </si>
  <si>
    <t>#연소 타일 파괴시 (Value1)% 확률로 손패에 랜덤한 #화염 카드 임시(이번 스테이지) 생성</t>
    <phoneticPr fontId="2" type="noConversion"/>
  </si>
  <si>
    <t>#연소 타일 파괴시 (Value1)% 확률로 새 타일 생성</t>
    <phoneticPr fontId="2" type="noConversion"/>
  </si>
  <si>
    <t>#연소 부여시 얻는 점수 배율 +(value1)</t>
    <phoneticPr fontId="2" type="noConversion"/>
  </si>
  <si>
    <t>존재하는 #연소 타일 1개당 타일 기본 파괴 점수 +(Value1)</t>
    <phoneticPr fontId="2" type="noConversion"/>
  </si>
  <si>
    <t>#연소 타일의 파괴 점수가 +(Value1)가 된다. #연소 타일 점수 배율 +0.25</t>
    <phoneticPr fontId="2" type="noConversion"/>
  </si>
  <si>
    <t>#연소 타일의 파괴 점수가 +(Value1)가 된다.</t>
    <phoneticPr fontId="2" type="noConversion"/>
  </si>
  <si>
    <t>#얼음 태그 카드의 파괴 확률이 (Value1)%까지 감소, 감소한 확률만큼 #빙결 부여 확률 상승</t>
    <phoneticPr fontId="2" type="noConversion"/>
  </si>
  <si>
    <t>#연소 타일 점수 배율 +(Value1)</t>
    <phoneticPr fontId="2" type="noConversion"/>
  </si>
  <si>
    <t>#얼음 태그 카드 사용시, (Value1)%확률로 손패에 사용한 카드 생성</t>
    <phoneticPr fontId="2" type="noConversion"/>
  </si>
  <si>
    <t>#빙결 타일 파괴 연쇄시 #빙결 타일 파괴 점수 배율 +(V1), 턴 시작시 배율 초기화</t>
    <phoneticPr fontId="2" type="noConversion"/>
  </si>
  <si>
    <t>#빙결 타일 파괴 연쇄시 #빙결 타일 파괴 점수가 +(V1)이 된다. 턴 시작시 파괴 점수 초기화</t>
    <phoneticPr fontId="2" type="noConversion"/>
  </si>
  <si>
    <t>#빙결 타일을 직선 8칸으로 이을 때마다 #빙결 타일 파괴 점수 배율 +(V1) (최대 +(V2))</t>
    <phoneticPr fontId="2" type="noConversion"/>
  </si>
  <si>
    <t>#빙결 타일 파괴 점수 배율 +(V1)</t>
    <phoneticPr fontId="2" type="noConversion"/>
  </si>
  <si>
    <t>#빙결 타일의 파괴 점수가 +(V1)가 된다. #빙결 타일 점수 배율 +(V2)</t>
    <phoneticPr fontId="2" type="noConversion"/>
  </si>
  <si>
    <t>#전기 태그 카드 사용시 (V1)% 확률로 마나 (V2) 획득</t>
    <phoneticPr fontId="2" type="noConversion"/>
  </si>
  <si>
    <t>#전기 태그 카드 (V1)장 사용시 손패에 #전기 카드 생성</t>
    <phoneticPr fontId="2" type="noConversion"/>
  </si>
  <si>
    <t>매 턴 각 #빙결 타일이 (V1)%확률로 인접한 타일 한 칸에 #빙결 부여</t>
    <phoneticPr fontId="2" type="noConversion"/>
  </si>
  <si>
    <t>매 턴 각 #감전 타일이 점수를 얻을 때 (V1)%확률로 한 번 더 발동</t>
    <phoneticPr fontId="2" type="noConversion"/>
  </si>
  <si>
    <t>#감전 타일의 파괴 점수 +(V1)</t>
    <phoneticPr fontId="2" type="noConversion"/>
  </si>
  <si>
    <t>#감전 타일 효과 배율 +(V1)</t>
    <phoneticPr fontId="2" type="noConversion"/>
  </si>
  <si>
    <t>#감전 타일이 인접한 감전 타일 하나마다 #감전 타일 효과 배율+(V1)(상하좌우 최대 4번)</t>
    <phoneticPr fontId="2" type="noConversion"/>
  </si>
  <si>
    <t>마지막 카드를 사용했을 때 #감전 타일 효과가 (V1)번 더 발동</t>
    <phoneticPr fontId="2" type="noConversion"/>
  </si>
  <si>
    <t>횟수 (정수)</t>
    <phoneticPr fontId="2" type="noConversion"/>
  </si>
  <si>
    <t>#감전 타일의 파괴 점수가 +(V1)가 된다. #감전 타일 효과 배율 +(V2)</t>
    <phoneticPr fontId="2" type="noConversion"/>
  </si>
  <si>
    <t>#마법 카드의 소모 마나 (V1)증가, #화염,#얼음,#전기 카드 사용시 각각 다음에 사용하는 #얼음,#전기,#화염 카드의 소모 마나 (V2) 감소</t>
    <phoneticPr fontId="2" type="noConversion"/>
  </si>
  <si>
    <t>#화염 #얼음 #전기 순으로 카드 (V1)장 사용시 손 패에 #화염,#얼음,#전기 카드 중 1장 랜덤 (이번 스테이지) 생성</t>
    <phoneticPr fontId="2" type="noConversion"/>
  </si>
  <si>
    <t>#연소 부여 점수 제거, #연소 타일에 #빙결이 부여되었을 때 #연소 부여 점수(파괴 점수)의 (V1)배를 얻음</t>
    <phoneticPr fontId="2" type="noConversion"/>
  </si>
  <si>
    <t>#감전의 점수 배율 (V1)배, #감전 파괴 리스크 제거, #감전 타일에 #연소가 부여되어 있을 때 #감전의 점수 배율 (V2)배로 변경</t>
    <phoneticPr fontId="2" type="noConversion"/>
  </si>
  <si>
    <t>#연소, #빙결, #감전이 모두 부여된 타일의 파괴 점수 +(V1), 그을린 장검/얼어붙은 대검/피뢰침 자검을 모두 소지 시 효과가 (V2)배 증가</t>
    <phoneticPr fontId="2" type="noConversion"/>
  </si>
  <si>
    <t>Pack_Id</t>
    <phoneticPr fontId="2" type="noConversion"/>
  </si>
  <si>
    <t>Name_ID</t>
    <phoneticPr fontId="2" type="noConversion"/>
  </si>
  <si>
    <t>팩 이름</t>
    <phoneticPr fontId="2" type="noConversion"/>
  </si>
  <si>
    <t>Gatch_Key</t>
    <phoneticPr fontId="2" type="noConversion"/>
  </si>
  <si>
    <t>Pack_Resource</t>
    <phoneticPr fontId="2" type="noConversion"/>
  </si>
  <si>
    <t>모험가 확인용 팩</t>
    <phoneticPr fontId="2" type="noConversion"/>
  </si>
  <si>
    <t>Pack_Id</t>
  </si>
  <si>
    <t>팩 키 아이디</t>
    <phoneticPr fontId="2" type="noConversion"/>
  </si>
  <si>
    <t>Name_ID</t>
  </si>
  <si>
    <t>언어 아이디</t>
    <phoneticPr fontId="2" type="noConversion"/>
  </si>
  <si>
    <t>팩 이름</t>
  </si>
  <si>
    <t>팩 이름 개발용</t>
    <phoneticPr fontId="2" type="noConversion"/>
  </si>
  <si>
    <t>Gatch_Key</t>
  </si>
  <si>
    <t>가챠 키값</t>
    <phoneticPr fontId="2" type="noConversion"/>
  </si>
  <si>
    <t>Pack_Resource</t>
  </si>
  <si>
    <t>리소스 이름</t>
    <phoneticPr fontId="2" type="noConversion"/>
  </si>
  <si>
    <t>No</t>
    <phoneticPr fontId="2" type="noConversion"/>
  </si>
  <si>
    <t>Gacha_type</t>
    <phoneticPr fontId="2" type="noConversion"/>
  </si>
  <si>
    <t>Gacha_Id</t>
    <phoneticPr fontId="2" type="noConversion"/>
  </si>
  <si>
    <t>Rate</t>
    <phoneticPr fontId="2" type="noConversion"/>
  </si>
  <si>
    <t>Reward_Type</t>
    <phoneticPr fontId="2" type="noConversion"/>
  </si>
  <si>
    <t>보상 명칭</t>
    <phoneticPr fontId="2" type="noConversion"/>
  </si>
  <si>
    <t>Reward_Count</t>
    <phoneticPr fontId="2" type="noConversion"/>
  </si>
  <si>
    <t>relic123</t>
    <phoneticPr fontId="2" type="noConversion"/>
  </si>
  <si>
    <t>relic123_Name</t>
  </si>
  <si>
    <t>relic123_Des</t>
  </si>
  <si>
    <t>타격점을 기준으로 가로 방향으로 파괴 시, 해당 방향 타일의 파괴 확률이 X% 증가합니다.</t>
    <phoneticPr fontId="2" type="noConversion"/>
  </si>
  <si>
    <t>타격점을 기준으로 세로 방향으로 파괴 시, 해당 방향 타일의 파괴 확률이 X% 증가합니다.</t>
    <phoneticPr fontId="2" type="noConversion"/>
  </si>
  <si>
    <t>잔상 각인*</t>
    <phoneticPr fontId="2" type="noConversion"/>
  </si>
  <si>
    <t>잔상 추적자*</t>
    <phoneticPr fontId="2" type="noConversion"/>
  </si>
  <si>
    <t>균열 파편 강화*</t>
    <phoneticPr fontId="2" type="noConversion"/>
  </si>
  <si>
    <t>거래기록 장부</t>
    <phoneticPr fontId="2" type="noConversion"/>
  </si>
  <si>
    <t>손전등</t>
    <phoneticPr fontId="2" type="noConversion"/>
  </si>
  <si>
    <t>광역 공격 망치</t>
    <phoneticPr fontId="2" type="noConversion"/>
  </si>
  <si>
    <t>정밀 타격 레이저</t>
    <phoneticPr fontId="2" type="noConversion"/>
  </si>
  <si>
    <t>작은 금괴</t>
    <phoneticPr fontId="2" type="noConversion"/>
  </si>
  <si>
    <t>스프레이 마감제</t>
    <phoneticPr fontId="2" type="noConversion"/>
  </si>
  <si>
    <t>부서진 도구의 기억</t>
    <phoneticPr fontId="2" type="noConversion"/>
  </si>
  <si>
    <t>Relic_Image</t>
    <phoneticPr fontId="2" type="noConversion"/>
  </si>
  <si>
    <t>Relic101.png</t>
  </si>
  <si>
    <t>Relic102.png</t>
  </si>
  <si>
    <t>Relic103.png</t>
  </si>
  <si>
    <t>Relic104.png</t>
  </si>
  <si>
    <t>Relic105.png</t>
  </si>
  <si>
    <t>Relic106.png</t>
  </si>
  <si>
    <t>Relic107.png</t>
  </si>
  <si>
    <t>Relic108.png</t>
  </si>
  <si>
    <t>Relic109.png</t>
  </si>
  <si>
    <t>Relic110.png</t>
  </si>
  <si>
    <t>Relic111.png</t>
  </si>
  <si>
    <t>Relic112.png</t>
  </si>
  <si>
    <t>Relic113.png</t>
  </si>
  <si>
    <t>Relic114.png</t>
  </si>
  <si>
    <t>Relic115.png</t>
  </si>
  <si>
    <t>Relic116.png</t>
  </si>
  <si>
    <t>Relic117.png</t>
  </si>
  <si>
    <t>Relic118.png</t>
  </si>
  <si>
    <t>Relic119.png</t>
  </si>
  <si>
    <t>Relic120.png</t>
  </si>
  <si>
    <t>Relic121.png</t>
  </si>
  <si>
    <t>Relic122.png</t>
  </si>
  <si>
    <t>Relic123.png</t>
  </si>
  <si>
    <t>Relic201.png</t>
  </si>
  <si>
    <t>Relic202.png</t>
  </si>
  <si>
    <t>Relic203.png</t>
  </si>
  <si>
    <t>Relic204.png</t>
  </si>
  <si>
    <t>Relic205.png</t>
  </si>
  <si>
    <t>Relic206.png</t>
  </si>
  <si>
    <t>Relic207.png</t>
  </si>
  <si>
    <t>Relic208.png</t>
  </si>
  <si>
    <t>Relic209.png</t>
  </si>
  <si>
    <t>Relic210.png</t>
  </si>
  <si>
    <t>Relic211.png</t>
  </si>
  <si>
    <t>Relic212.png</t>
  </si>
  <si>
    <t>Relic213.png</t>
  </si>
  <si>
    <t>Relic214.png</t>
  </si>
  <si>
    <t>Relic215.png</t>
  </si>
  <si>
    <t>Relic216.png</t>
  </si>
  <si>
    <t>Relic217.png</t>
  </si>
  <si>
    <t>Relic218.png</t>
  </si>
  <si>
    <t>Relic219.png</t>
  </si>
  <si>
    <t>Relic220.png</t>
  </si>
  <si>
    <t>Relic221.png</t>
  </si>
  <si>
    <t>Relic222.png</t>
  </si>
  <si>
    <t>Relic223.png</t>
  </si>
  <si>
    <t>Relic224.png</t>
  </si>
  <si>
    <t>Relic225.png</t>
  </si>
  <si>
    <t>Relic226.png</t>
  </si>
  <si>
    <t>Relic227.png</t>
  </si>
  <si>
    <t>Relic228.png</t>
  </si>
  <si>
    <t>Relic229.png</t>
  </si>
  <si>
    <t>Relic230.png</t>
  </si>
  <si>
    <t>Relic231.png</t>
  </si>
  <si>
    <t>Relic232.png</t>
  </si>
  <si>
    <t>Relic233.png</t>
  </si>
  <si>
    <t>Relic234.png</t>
  </si>
  <si>
    <t>Relic235.png</t>
  </si>
  <si>
    <t>Relic236.png</t>
  </si>
  <si>
    <t>Relic237.png</t>
  </si>
  <si>
    <t>Relic238.png</t>
  </si>
  <si>
    <t>Relic239.png</t>
  </si>
  <si>
    <t>Relic240.png</t>
  </si>
  <si>
    <t>Relic241.png</t>
  </si>
  <si>
    <t>Relic242.png</t>
  </si>
  <si>
    <t>Relic243.png</t>
  </si>
  <si>
    <t>Relic244.png</t>
  </si>
  <si>
    <t>Relic245.png</t>
  </si>
  <si>
    <t>Relic246.png</t>
  </si>
  <si>
    <t>Relic247.png</t>
  </si>
  <si>
    <t>Relic248.png</t>
  </si>
  <si>
    <t>Relic249.png</t>
  </si>
  <si>
    <t>Relic250.png</t>
  </si>
  <si>
    <t>Relic251.png</t>
  </si>
  <si>
    <t>Relic252.png</t>
  </si>
  <si>
    <t>Relic253.png</t>
  </si>
  <si>
    <t>Relic254.png</t>
  </si>
  <si>
    <t>Relic255.png</t>
  </si>
  <si>
    <t>Relic256.png</t>
  </si>
  <si>
    <t>도구 카드가 파괴될 때, x% 확률로 파괴되지 않고 손패로 돌아갑니다.</t>
    <phoneticPr fontId="2" type="noConversion"/>
  </si>
  <si>
    <t>06.카드팩 테이블</t>
    <phoneticPr fontId="2" type="noConversion"/>
  </si>
  <si>
    <t>Cost_min</t>
    <phoneticPr fontId="2" type="noConversion"/>
  </si>
  <si>
    <t>Cost_max</t>
    <phoneticPr fontId="2" type="noConversion"/>
  </si>
  <si>
    <t>tra00</t>
    <phoneticPr fontId="2" type="noConversion"/>
  </si>
  <si>
    <t>tra00_name</t>
    <phoneticPr fontId="2" type="noConversion"/>
  </si>
  <si>
    <t>Card_Shovel</t>
  </si>
  <si>
    <t>Card_Rake</t>
  </si>
  <si>
    <t>Card_CrossChisel</t>
  </si>
  <si>
    <t>Card_LargeScissors</t>
  </si>
  <si>
    <t>Card_HammerOfMemory</t>
  </si>
  <si>
    <t>Card_RiftStartumAnalysis</t>
  </si>
  <si>
    <t>name</t>
    <phoneticPr fontId="2" type="noConversion"/>
  </si>
  <si>
    <t>id</t>
  </si>
  <si>
    <t>고유 아이디</t>
    <phoneticPr fontId="2" type="noConversion"/>
  </si>
  <si>
    <t>gacha_type</t>
  </si>
  <si>
    <t>가챠 타입</t>
    <phoneticPr fontId="2" type="noConversion"/>
  </si>
  <si>
    <t>gacha_id</t>
  </si>
  <si>
    <t>가챠 아이디</t>
    <phoneticPr fontId="2" type="noConversion"/>
  </si>
  <si>
    <t>rate</t>
  </si>
  <si>
    <t>등장 확률</t>
    <phoneticPr fontId="2" type="noConversion"/>
  </si>
  <si>
    <t>reward_type</t>
    <phoneticPr fontId="2" type="noConversion"/>
  </si>
  <si>
    <t>획득 보상 타입</t>
    <phoneticPr fontId="2" type="noConversion"/>
  </si>
  <si>
    <t>reward_value</t>
    <phoneticPr fontId="2" type="noConversion"/>
  </si>
  <si>
    <t>획득 보상 값</t>
    <phoneticPr fontId="2" type="noConversion"/>
  </si>
  <si>
    <t>reward_count</t>
    <phoneticPr fontId="2" type="noConversion"/>
  </si>
  <si>
    <t>획득 보상 수량</t>
    <phoneticPr fontId="2" type="noConversion"/>
  </si>
  <si>
    <t>07.가챠 테이블</t>
    <phoneticPr fontId="2" type="noConversion"/>
  </si>
  <si>
    <t>gacha_type/가챠 타입</t>
    <phoneticPr fontId="2" type="noConversion"/>
  </si>
  <si>
    <t>index</t>
    <phoneticPr fontId="2" type="noConversion"/>
  </si>
  <si>
    <t>타입별 인덱스 사용처</t>
    <phoneticPr fontId="2" type="noConversion"/>
  </si>
  <si>
    <t xml:space="preserve">카드팩 보상용 아이템 </t>
    <phoneticPr fontId="2" type="noConversion"/>
  </si>
  <si>
    <t>카드 팩 오픈시 사용</t>
    <phoneticPr fontId="2" type="noConversion"/>
  </si>
  <si>
    <t>reward_type/보상 타입</t>
    <phoneticPr fontId="2" type="noConversion"/>
  </si>
  <si>
    <t>참조 테이블</t>
    <phoneticPr fontId="2" type="noConversion"/>
  </si>
  <si>
    <t>골드</t>
    <phoneticPr fontId="2" type="noConversion"/>
  </si>
  <si>
    <t>value</t>
    <phoneticPr fontId="2" type="noConversion"/>
  </si>
  <si>
    <t>count</t>
    <phoneticPr fontId="2" type="noConversion"/>
  </si>
  <si>
    <t>카드</t>
    <phoneticPr fontId="2" type="noConversion"/>
  </si>
  <si>
    <t>유물</t>
    <phoneticPr fontId="2" type="noConversion"/>
  </si>
  <si>
    <t>Card_Key</t>
  </si>
  <si>
    <t>02.CardData</t>
    <phoneticPr fontId="2" type="noConversion"/>
  </si>
  <si>
    <t>03.RelicData</t>
    <phoneticPr fontId="2" type="noConversion"/>
  </si>
  <si>
    <t>상점 등장 아이템</t>
    <phoneticPr fontId="2" type="noConversion"/>
  </si>
  <si>
    <t>상점에 등장하는 아이템 확률</t>
    <phoneticPr fontId="2" type="noConversion"/>
  </si>
  <si>
    <t>팩</t>
    <phoneticPr fontId="2" type="noConversion"/>
  </si>
  <si>
    <t>06.PackData</t>
    <phoneticPr fontId="2" type="noConversion"/>
  </si>
  <si>
    <t>스테이지 클리어 카드 보상</t>
    <phoneticPr fontId="2" type="noConversion"/>
  </si>
  <si>
    <t>스테이지 클리어 카드 랜덤 보상에서 사용</t>
    <phoneticPr fontId="2" type="noConversion"/>
  </si>
  <si>
    <t>id</t>
    <phoneticPr fontId="2" type="noConversion"/>
  </si>
  <si>
    <t>Id</t>
  </si>
  <si>
    <t>Id</t>
    <phoneticPr fontId="2" type="noConversion"/>
  </si>
  <si>
    <t>Item_id</t>
  </si>
  <si>
    <t>Item_id</t>
    <phoneticPr fontId="2" type="noConversion"/>
  </si>
  <si>
    <t>Item_type</t>
  </si>
  <si>
    <t>Item_type</t>
    <phoneticPr fontId="2" type="noConversion"/>
  </si>
  <si>
    <t>Card_CrossChisel_Enhanced</t>
  </si>
  <si>
    <t>Card_LargeScissors_Enhanced</t>
  </si>
  <si>
    <t>Card_HammerOfMemory_Enhanced</t>
  </si>
  <si>
    <t>Card_RiftStartumAnalysis_Enhanced</t>
  </si>
  <si>
    <t>relic101</t>
  </si>
  <si>
    <t>relic123</t>
  </si>
  <si>
    <t>08.상점 아이템 테이블</t>
    <phoneticPr fontId="2" type="noConversion"/>
  </si>
  <si>
    <t>가격 최솟값</t>
    <phoneticPr fontId="2" type="noConversion"/>
  </si>
  <si>
    <t>가격 최댓값</t>
    <phoneticPr fontId="2" type="noConversion"/>
  </si>
  <si>
    <t>아이템 타입</t>
    <phoneticPr fontId="2" type="noConversion"/>
  </si>
  <si>
    <t>아이템 아이디</t>
    <phoneticPr fontId="2" type="noConversion"/>
  </si>
  <si>
    <t>Item_type/아이템 타입</t>
    <phoneticPr fontId="2" type="noConversion"/>
  </si>
  <si>
    <t>유물 아이디</t>
    <phoneticPr fontId="2" type="noConversion"/>
  </si>
  <si>
    <t>02.CardData/ Card_key 참조</t>
    <phoneticPr fontId="2" type="noConversion"/>
  </si>
  <si>
    <t>03.RelicData/ Key 참조</t>
    <phoneticPr fontId="2" type="noConversion"/>
  </si>
  <si>
    <t>map_key</t>
  </si>
  <si>
    <t>map_key</t>
    <phoneticPr fontId="2" type="noConversion"/>
  </si>
  <si>
    <t>gacha_id</t>
    <phoneticPr fontId="2" type="noConversion"/>
  </si>
  <si>
    <t>tra01</t>
  </si>
  <si>
    <t>tra01</t>
    <phoneticPr fontId="2" type="noConversion"/>
  </si>
  <si>
    <t>tra01_name</t>
    <phoneticPr fontId="2" type="noConversion"/>
  </si>
  <si>
    <t>도구 카드펙 기본</t>
    <phoneticPr fontId="2" type="noConversion"/>
  </si>
  <si>
    <t>Store_ToolPack_Reg.png</t>
    <phoneticPr fontId="2" type="noConversion"/>
  </si>
  <si>
    <t>균열 카드 - 일반</t>
    <phoneticPr fontId="2" type="noConversion"/>
  </si>
  <si>
    <t>균열 카드 - 레어</t>
    <phoneticPr fontId="2" type="noConversion"/>
  </si>
  <si>
    <t>균열 카드 - 유니크</t>
    <phoneticPr fontId="2" type="noConversion"/>
  </si>
  <si>
    <t>팩 아이디</t>
    <phoneticPr fontId="2" type="noConversion"/>
  </si>
  <si>
    <t>06.PackData / Pack_Id 참조</t>
    <phoneticPr fontId="2" type="noConversion"/>
  </si>
  <si>
    <t>tra02</t>
    <phoneticPr fontId="2" type="noConversion"/>
  </si>
  <si>
    <t>긴급 수리 테이프</t>
    <phoneticPr fontId="2" type="noConversion"/>
  </si>
  <si>
    <t>대못</t>
    <phoneticPr fontId="2" type="noConversion"/>
  </si>
  <si>
    <t>수평계</t>
    <phoneticPr fontId="2" type="noConversion"/>
  </si>
  <si>
    <t>세로추</t>
    <phoneticPr fontId="2" type="noConversion"/>
  </si>
  <si>
    <t>tra02_name</t>
    <phoneticPr fontId="2" type="noConversion"/>
  </si>
  <si>
    <t>도구 카드펙 강화</t>
    <phoneticPr fontId="2" type="noConversion"/>
  </si>
  <si>
    <t>Store_ToolPack_Bronze.png</t>
  </si>
  <si>
    <t>상점 체크</t>
    <phoneticPr fontId="2" type="noConversion"/>
  </si>
  <si>
    <t>Map_Key</t>
    <phoneticPr fontId="2" type="noConversion"/>
  </si>
  <si>
    <t>Map_Name</t>
  </si>
  <si>
    <t>Map_Name</t>
    <phoneticPr fontId="2" type="noConversion"/>
  </si>
  <si>
    <t>Shop_Reroll_Cost</t>
  </si>
  <si>
    <t>Shop_Reroll_Cost</t>
    <phoneticPr fontId="2" type="noConversion"/>
  </si>
  <si>
    <t>Stage_Card_Reward</t>
  </si>
  <si>
    <t>Stage_Card_Reward</t>
    <phoneticPr fontId="2" type="noConversion"/>
  </si>
  <si>
    <t>Map_Start</t>
    <phoneticPr fontId="2" type="noConversion"/>
  </si>
  <si>
    <t>키</t>
    <phoneticPr fontId="2" type="noConversion"/>
  </si>
  <si>
    <t>슬롯 정보 아이디</t>
    <phoneticPr fontId="2" type="noConversion"/>
  </si>
  <si>
    <t>아이템 아이디 07.GachaData / Gacha_Id 참조</t>
    <phoneticPr fontId="2" type="noConversion"/>
  </si>
  <si>
    <t>맵 키 값 10.MapData / Map_Key 참조</t>
    <phoneticPr fontId="2" type="noConversion"/>
  </si>
  <si>
    <t>slot_index</t>
    <phoneticPr fontId="2" type="noConversion"/>
  </si>
  <si>
    <t>등장 아이템</t>
    <phoneticPr fontId="2" type="noConversion"/>
  </si>
  <si>
    <t>위치</t>
    <phoneticPr fontId="2" type="noConversion"/>
  </si>
  <si>
    <t>좌측 카드팩</t>
    <phoneticPr fontId="2" type="noConversion"/>
  </si>
  <si>
    <t>중앙 카드팩</t>
    <phoneticPr fontId="2" type="noConversion"/>
  </si>
  <si>
    <t>우측 카드팩</t>
    <phoneticPr fontId="2" type="noConversion"/>
  </si>
  <si>
    <t>좌측 리미티드 카드</t>
    <phoneticPr fontId="2" type="noConversion"/>
  </si>
  <si>
    <t>우측 리미티드 카드</t>
    <phoneticPr fontId="2" type="noConversion"/>
  </si>
  <si>
    <t>좌측 유물</t>
    <phoneticPr fontId="2" type="noConversion"/>
  </si>
  <si>
    <t>우측 유물</t>
    <phoneticPr fontId="2" type="noConversion"/>
  </si>
  <si>
    <t>카드팩</t>
    <phoneticPr fontId="2" type="noConversion"/>
  </si>
  <si>
    <t>유물/소모 아이템</t>
    <phoneticPr fontId="2" type="noConversion"/>
  </si>
  <si>
    <t>slot_index / 슬롯 정보</t>
    <phoneticPr fontId="2" type="noConversion"/>
  </si>
  <si>
    <t>09.상점 테이블</t>
    <phoneticPr fontId="2" type="noConversion"/>
  </si>
  <si>
    <t>맵 키 값</t>
    <phoneticPr fontId="2" type="noConversion"/>
  </si>
  <si>
    <t>맵 이름 / 00.LocaleData 정보용</t>
    <phoneticPr fontId="2" type="noConversion"/>
  </si>
  <si>
    <t>상점 리롤 비용</t>
    <phoneticPr fontId="2" type="noConversion"/>
  </si>
  <si>
    <t>스테이지 클리어 카드 보상 가챠 아이디</t>
    <phoneticPr fontId="2" type="noConversion"/>
  </si>
  <si>
    <t>10. 맵 테이블</t>
    <phoneticPr fontId="2" type="noConversion"/>
  </si>
  <si>
    <t>Reward_Value</t>
    <phoneticPr fontId="2" type="noConversion"/>
  </si>
  <si>
    <t>Card_Show_Count</t>
  </si>
  <si>
    <t>Card_Show_Count</t>
    <phoneticPr fontId="2" type="noConversion"/>
  </si>
  <si>
    <t>Card_Pick_Count</t>
  </si>
  <si>
    <t>Card_Pick_Count</t>
    <phoneticPr fontId="2" type="noConversion"/>
  </si>
  <si>
    <t>카드팩에서 등장하는 카드 수량</t>
    <phoneticPr fontId="2" type="noConversion"/>
  </si>
  <si>
    <t>선택 가능한 카드 수량</t>
    <phoneticPr fontId="2" type="noConversion"/>
  </si>
  <si>
    <t>Card_Illust_103</t>
  </si>
  <si>
    <t>Card_Illust_104</t>
  </si>
  <si>
    <t>Card_Illust_106</t>
  </si>
  <si>
    <t>Card_Illust_107</t>
  </si>
  <si>
    <t>Card_Illust_108</t>
  </si>
  <si>
    <t>Card_Illust_109</t>
  </si>
  <si>
    <t>Card_Illust_110</t>
  </si>
  <si>
    <t>Card_Illust_111</t>
  </si>
  <si>
    <t>Card_Illust_112</t>
  </si>
  <si>
    <t>Card_Illust_113</t>
  </si>
  <si>
    <t>Card_Illust_114</t>
  </si>
  <si>
    <t>Card_Illust_115</t>
  </si>
  <si>
    <t>Card_Illust_116</t>
  </si>
  <si>
    <t>Card_Illust_117</t>
  </si>
  <si>
    <t>Card_Illust_118</t>
  </si>
  <si>
    <t>Card_Illust_119</t>
  </si>
  <si>
    <t>Card_Illust_120</t>
  </si>
  <si>
    <t>Card_Illust_121</t>
  </si>
  <si>
    <t>Card_Illust_122</t>
  </si>
  <si>
    <t>Card_Illust_123</t>
  </si>
  <si>
    <t>Card_Illust_124</t>
  </si>
  <si>
    <t>Card_Illust_125</t>
  </si>
  <si>
    <t>Card_Illust_126</t>
  </si>
  <si>
    <t>Card_Illust_127</t>
  </si>
  <si>
    <t>Card_Illust_128</t>
  </si>
  <si>
    <t>Card_Illust_129</t>
  </si>
  <si>
    <t>Card_Illust_130</t>
  </si>
  <si>
    <t>Card_Illust_131</t>
  </si>
  <si>
    <t>Card_Illust_132</t>
  </si>
  <si>
    <t>Card_Illust_133</t>
  </si>
  <si>
    <t>Card_Illust_134</t>
  </si>
  <si>
    <t>Req_grade</t>
  </si>
  <si>
    <t>Cost</t>
  </si>
  <si>
    <t>Success_rate</t>
  </si>
  <si>
    <t>Success_rate_per_visit</t>
  </si>
  <si>
    <t>Jackpot_rate</t>
  </si>
  <si>
    <t>Jackpot_rate_invest</t>
  </si>
  <si>
    <t>Fail_box_id</t>
  </si>
  <si>
    <t>Success_box_id</t>
  </si>
  <si>
    <t>의뢰 등급</t>
    <phoneticPr fontId="2" type="noConversion"/>
  </si>
  <si>
    <t>의뢰 비용 (Gold)</t>
    <phoneticPr fontId="2" type="noConversion"/>
  </si>
  <si>
    <t>기본 성공률</t>
    <phoneticPr fontId="2" type="noConversion"/>
  </si>
  <si>
    <t>Success_rate_invest</t>
    <phoneticPr fontId="2" type="noConversion"/>
  </si>
  <si>
    <t>Max_Invest</t>
  </si>
  <si>
    <t>Max_Invest</t>
    <phoneticPr fontId="2" type="noConversion"/>
  </si>
  <si>
    <t>최대 투자 횟수</t>
    <phoneticPr fontId="2" type="noConversion"/>
  </si>
  <si>
    <t>대성공 확률</t>
    <phoneticPr fontId="2" type="noConversion"/>
  </si>
  <si>
    <t>투자 1회당 대성공 확률 증가량</t>
    <phoneticPr fontId="2" type="noConversion"/>
  </si>
  <si>
    <t>방문 1회당 성공확률 증가량</t>
    <phoneticPr fontId="2" type="noConversion"/>
  </si>
  <si>
    <t>투자 1회당 성공 확률 증가량</t>
    <phoneticPr fontId="2" type="noConversion"/>
  </si>
  <si>
    <t>실패시 보상 아이디</t>
    <phoneticPr fontId="2" type="noConversion"/>
  </si>
  <si>
    <t>성공시 보상 아이디</t>
    <phoneticPr fontId="2" type="noConversion"/>
  </si>
  <si>
    <t>만분률</t>
    <phoneticPr fontId="2" type="noConversion"/>
  </si>
  <si>
    <t>정보</t>
    <phoneticPr fontId="2" type="noConversion"/>
  </si>
  <si>
    <t>Normal</t>
    <phoneticPr fontId="2" type="noConversion"/>
  </si>
  <si>
    <t>VIP</t>
    <phoneticPr fontId="2" type="noConversion"/>
  </si>
  <si>
    <t>VVIP</t>
    <phoneticPr fontId="2" type="noConversion"/>
  </si>
  <si>
    <t>Box_Id</t>
  </si>
  <si>
    <t>Box_Id</t>
    <phoneticPr fontId="2" type="noConversion"/>
  </si>
  <si>
    <t>Rate</t>
  </si>
  <si>
    <t>카드 키 / 02.CardData Card_Key 참조</t>
    <phoneticPr fontId="2" type="noConversion"/>
  </si>
  <si>
    <t>보상 박스 / 13.RewardBoxData Box_id 참조</t>
    <phoneticPr fontId="2" type="noConversion"/>
  </si>
  <si>
    <t>가중치 확률</t>
    <phoneticPr fontId="2" type="noConversion"/>
  </si>
  <si>
    <t>11. 의뢰 테이블</t>
    <phoneticPr fontId="2" type="noConversion"/>
  </si>
  <si>
    <t>12. 대성공 가중치 확률 테이블</t>
    <phoneticPr fontId="2" type="noConversion"/>
  </si>
  <si>
    <t>Reward_Type</t>
  </si>
  <si>
    <t>Reward_Value</t>
  </si>
  <si>
    <t>Reward_Count</t>
  </si>
  <si>
    <t>박스 아이디</t>
    <phoneticPr fontId="2" type="noConversion"/>
  </si>
  <si>
    <t>보상 타입</t>
    <phoneticPr fontId="2" type="noConversion"/>
  </si>
  <si>
    <t>보상 값</t>
    <phoneticPr fontId="2" type="noConversion"/>
  </si>
  <si>
    <t>보상 수량</t>
    <phoneticPr fontId="2" type="noConversion"/>
  </si>
  <si>
    <t>Reward/보상</t>
    <phoneticPr fontId="2" type="noConversion"/>
  </si>
  <si>
    <t>골드</t>
  </si>
  <si>
    <t>카드</t>
  </si>
  <si>
    <t>유물</t>
  </si>
  <si>
    <t>팩</t>
  </si>
  <si>
    <t>13. 박스 테이블</t>
    <phoneticPr fontId="2" type="noConversion"/>
  </si>
  <si>
    <t>가챠</t>
    <phoneticPr fontId="2" type="noConversion"/>
  </si>
  <si>
    <t>Value</t>
    <phoneticPr fontId="2" type="noConversion"/>
  </si>
  <si>
    <t>x</t>
    <phoneticPr fontId="2" type="noConversion"/>
  </si>
  <si>
    <t>07.GachaData</t>
    <phoneticPr fontId="2" type="noConversion"/>
  </si>
  <si>
    <t>박스 참조 가챠</t>
    <phoneticPr fontId="2" type="noConversion"/>
  </si>
  <si>
    <t>13.BoxData 참조용</t>
    <phoneticPr fontId="2" type="noConversion"/>
  </si>
  <si>
    <t>Pick_Count</t>
  </si>
  <si>
    <t>Pick_Count</t>
    <phoneticPr fontId="2" type="noConversion"/>
  </si>
  <si>
    <t>보상 전부  제공</t>
    <phoneticPr fontId="2" type="noConversion"/>
  </si>
  <si>
    <t>보상중에 1개 선택 후 제공</t>
    <phoneticPr fontId="2" type="noConversion"/>
  </si>
  <si>
    <t>보상중에 2개 선택 후 제공</t>
  </si>
  <si>
    <t>보상중에 3개 선택 후 제공</t>
  </si>
  <si>
    <t>보상중에 4개 선택 후 제공</t>
  </si>
  <si>
    <t>Tag_Ice.png</t>
    <phoneticPr fontId="2" type="noConversion"/>
  </si>
  <si>
    <t>Tag_Consumable.png</t>
    <phoneticPr fontId="2" type="noConversion"/>
  </si>
  <si>
    <t>Tag_Electric.png</t>
    <phoneticPr fontId="2" type="noConversion"/>
  </si>
  <si>
    <t>Tag_Flame.png</t>
    <phoneticPr fontId="2" type="noConversion"/>
  </si>
  <si>
    <t>Tag_Magic.png</t>
    <phoneticPr fontId="2" type="noConversion"/>
  </si>
  <si>
    <t>Tag_Mana.png</t>
    <phoneticPr fontId="2" type="noConversion"/>
  </si>
  <si>
    <t>Tag_Tool.png</t>
    <phoneticPr fontId="2" type="noConversion"/>
  </si>
  <si>
    <t>Tag_Weapon.png</t>
    <phoneticPr fontId="2" type="noConversion"/>
  </si>
  <si>
    <t>방해 타일 타격 가능</t>
    <phoneticPr fontId="2" type="noConversion"/>
  </si>
  <si>
    <t>카드 사용시 골드 획득</t>
    <phoneticPr fontId="2" type="noConversion"/>
  </si>
  <si>
    <t>Card_Cross_Chisel_Name</t>
    <phoneticPr fontId="2" type="noConversion"/>
  </si>
  <si>
    <t>Card_Cross_Chisel_Des</t>
    <phoneticPr fontId="2" type="noConversion"/>
  </si>
  <si>
    <t>Card_Cross_Chisel_Enhanced_Des</t>
    <phoneticPr fontId="2" type="noConversion"/>
  </si>
  <si>
    <t>Card_Cross_Chisel_Enhanced_Name</t>
    <phoneticPr fontId="2" type="noConversion"/>
  </si>
  <si>
    <t>Card_Large_Scissors_Name</t>
    <phoneticPr fontId="2" type="noConversion"/>
  </si>
  <si>
    <t>Card_Large_Scissors_Enhanced_Name</t>
    <phoneticPr fontId="2" type="noConversion"/>
  </si>
  <si>
    <t>Card_Large_Scissors_Des</t>
    <phoneticPr fontId="2" type="noConversion"/>
  </si>
  <si>
    <t>Card_Large_Scissors_Enhanced_Des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</si>
</sst>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1" fillId="2" borderId="9" xfId="0" applyFont="1" applyFill="1" applyBorder="1">
      <alignment vertical="center"/>
    </xf>
    <xf numFmtId="0" fontId="1" fillId="9" borderId="1" xfId="0" applyFont="1" applyFill="1" applyBorder="1">
      <alignment vertical="center"/>
    </xf>
    <xf numFmtId="0" fontId="1" fillId="4" borderId="0" xfId="0" applyFont="1" applyFill="1">
      <alignment vertical="center"/>
    </xf>
    <xf numFmtId="0" fontId="1" fillId="2" borderId="10" xfId="0" applyFont="1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/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39" t="s">
        <v>0</v>
      </c>
      <c r="C2" s="40"/>
      <c r="D2" s="41"/>
      <c r="F2" s="3"/>
      <c r="G2" s="3"/>
      <c r="H2" s="3"/>
    </row>
    <row r="3" spans="2:8" x14ac:dyDescent="0.3">
      <c r="B3" s="32" t="s">
        <v>7</v>
      </c>
      <c r="C3" s="34"/>
      <c r="D3" s="35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93"/>
  <sheetViews>
    <sheetView tabSelected="1" topLeftCell="A10" workbookViewId="0">
      <selection activeCell="D42" sqref="D42"/>
    </sheetView>
  </sheetViews>
  <sheetFormatPr defaultRowHeight="12" x14ac:dyDescent="0.3"/>
  <cols>
    <col min="1" max="1" width="8.25" style="6" bestFit="1" customWidth="1"/>
    <col min="2" max="3" width="30.875" style="6" customWidth="1"/>
    <col min="4" max="4" width="34.25" style="6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24" bestFit="1" customWidth="1"/>
    <col min="21" max="21" width="10.25" style="24" bestFit="1" customWidth="1"/>
    <col min="22" max="22" width="2.25" style="13" customWidth="1"/>
    <col min="23" max="23" width="12.875" style="4" bestFit="1" customWidth="1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92</v>
      </c>
      <c r="B1" s="2" t="s">
        <v>70</v>
      </c>
      <c r="C1" s="2" t="s">
        <v>71</v>
      </c>
      <c r="D1" s="2" t="s">
        <v>72</v>
      </c>
      <c r="E1" s="14" t="s">
        <v>74</v>
      </c>
      <c r="F1" s="14" t="s">
        <v>75</v>
      </c>
      <c r="G1" s="2" t="s">
        <v>73</v>
      </c>
      <c r="H1" s="2" t="s">
        <v>79</v>
      </c>
      <c r="I1" s="2" t="s">
        <v>77</v>
      </c>
      <c r="J1" s="2" t="s">
        <v>76</v>
      </c>
      <c r="K1" s="2" t="s">
        <v>78</v>
      </c>
      <c r="L1" s="2" t="s">
        <v>80</v>
      </c>
      <c r="M1" s="20" t="s">
        <v>81</v>
      </c>
      <c r="N1" s="2" t="s">
        <v>588</v>
      </c>
      <c r="O1" s="2" t="s">
        <v>128</v>
      </c>
      <c r="P1" s="2" t="s">
        <v>129</v>
      </c>
      <c r="Q1" s="2" t="s">
        <v>130</v>
      </c>
      <c r="R1" s="2" t="s">
        <v>83</v>
      </c>
      <c r="S1" s="2" t="s">
        <v>84</v>
      </c>
      <c r="T1" s="23" t="s">
        <v>125</v>
      </c>
      <c r="U1" s="23" t="s">
        <v>82</v>
      </c>
      <c r="V1" s="12"/>
      <c r="X1" s="4"/>
      <c r="Y1" s="4"/>
      <c r="Z1" s="4"/>
    </row>
    <row r="2" spans="1:33" x14ac:dyDescent="0.3">
      <c r="A2" s="6">
        <v>101</v>
      </c>
      <c r="B2" s="6" t="s">
        <v>140</v>
      </c>
      <c r="C2" s="6" t="s">
        <v>192</v>
      </c>
      <c r="D2" s="6" t="s">
        <v>215</v>
      </c>
      <c r="E2" s="15" t="s">
        <v>143</v>
      </c>
      <c r="F2" s="15">
        <v>0</v>
      </c>
      <c r="G2" s="6">
        <v>1</v>
      </c>
      <c r="H2" s="6">
        <v>2</v>
      </c>
      <c r="I2" s="6">
        <v>1</v>
      </c>
      <c r="J2" s="6" t="s">
        <v>167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24" t="s">
        <v>580</v>
      </c>
      <c r="U2" s="24" t="s">
        <v>578</v>
      </c>
      <c r="X2" s="32" t="s">
        <v>85</v>
      </c>
      <c r="Y2" s="34"/>
      <c r="Z2" s="35"/>
    </row>
    <row r="3" spans="1:33" x14ac:dyDescent="0.3">
      <c r="A3" s="6">
        <v>102</v>
      </c>
      <c r="B3" s="6" t="s">
        <v>141</v>
      </c>
      <c r="C3" s="6" t="s">
        <v>193</v>
      </c>
      <c r="D3" s="6" t="s">
        <v>216</v>
      </c>
      <c r="E3" s="15" t="s">
        <v>144</v>
      </c>
      <c r="F3" s="15">
        <v>0</v>
      </c>
      <c r="G3" s="6">
        <v>1</v>
      </c>
      <c r="H3" s="6">
        <v>2</v>
      </c>
      <c r="I3" s="6">
        <v>1</v>
      </c>
      <c r="J3" s="6" t="s">
        <v>168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24" t="s">
        <v>581</v>
      </c>
      <c r="U3" s="24" t="s">
        <v>577</v>
      </c>
      <c r="X3" s="2" t="s">
        <v>86</v>
      </c>
      <c r="Y3" s="2" t="s">
        <v>87</v>
      </c>
      <c r="Z3" s="2" t="s">
        <v>88</v>
      </c>
      <c r="AB3" s="32" t="s">
        <v>73</v>
      </c>
      <c r="AC3" s="33"/>
      <c r="AD3" s="11"/>
      <c r="AE3" s="36" t="s">
        <v>109</v>
      </c>
      <c r="AF3" s="36"/>
      <c r="AG3" s="36"/>
    </row>
    <row r="4" spans="1:33" x14ac:dyDescent="0.3">
      <c r="A4" s="6">
        <v>103</v>
      </c>
      <c r="B4" s="6" t="s">
        <v>707</v>
      </c>
      <c r="C4" s="6" t="s">
        <v>194</v>
      </c>
      <c r="D4" s="6" t="s">
        <v>217</v>
      </c>
      <c r="E4" s="15" t="s">
        <v>145</v>
      </c>
      <c r="F4" s="15">
        <v>0</v>
      </c>
      <c r="G4" s="6">
        <v>1</v>
      </c>
      <c r="H4" s="6">
        <v>2</v>
      </c>
      <c r="I4" s="6">
        <v>2</v>
      </c>
      <c r="J4" s="6" t="s">
        <v>140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24" t="s">
        <v>580</v>
      </c>
      <c r="U4" s="24" t="s">
        <v>1258</v>
      </c>
      <c r="X4" s="2" t="s">
        <v>92</v>
      </c>
      <c r="Y4" s="6" t="s">
        <v>93</v>
      </c>
      <c r="Z4" s="6" t="s">
        <v>89</v>
      </c>
      <c r="AB4" s="6">
        <v>1</v>
      </c>
      <c r="AC4" s="6" t="s">
        <v>99</v>
      </c>
      <c r="AE4" s="37" t="s">
        <v>77</v>
      </c>
      <c r="AF4" s="38"/>
      <c r="AG4" s="9" t="s">
        <v>76</v>
      </c>
    </row>
    <row r="5" spans="1:33" x14ac:dyDescent="0.3">
      <c r="A5" s="6">
        <v>104</v>
      </c>
      <c r="B5" s="6" t="s">
        <v>706</v>
      </c>
      <c r="C5" s="6" t="s">
        <v>195</v>
      </c>
      <c r="D5" s="6" t="s">
        <v>218</v>
      </c>
      <c r="E5" s="15" t="s">
        <v>146</v>
      </c>
      <c r="F5" s="15">
        <v>0</v>
      </c>
      <c r="G5" s="6">
        <v>1</v>
      </c>
      <c r="H5" s="6">
        <v>2</v>
      </c>
      <c r="I5" s="6">
        <v>2</v>
      </c>
      <c r="J5" s="6" t="s">
        <v>141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123</v>
      </c>
      <c r="P5" s="6">
        <v>0</v>
      </c>
      <c r="Q5" s="6">
        <v>0</v>
      </c>
      <c r="R5" s="22">
        <v>0</v>
      </c>
      <c r="S5" s="22">
        <v>0</v>
      </c>
      <c r="T5" s="24" t="s">
        <v>581</v>
      </c>
      <c r="U5" s="24" t="s">
        <v>1259</v>
      </c>
      <c r="X5" s="2" t="s">
        <v>70</v>
      </c>
      <c r="Y5" s="6" t="s">
        <v>91</v>
      </c>
      <c r="Z5" s="6" t="s">
        <v>89</v>
      </c>
      <c r="AB5" s="6">
        <v>2</v>
      </c>
      <c r="AC5" s="6" t="s">
        <v>100</v>
      </c>
      <c r="AE5" s="10">
        <v>0</v>
      </c>
      <c r="AF5" s="10" t="s">
        <v>110</v>
      </c>
      <c r="AG5" s="10">
        <v>0</v>
      </c>
    </row>
    <row r="6" spans="1:33" x14ac:dyDescent="0.3">
      <c r="A6" s="6">
        <v>105</v>
      </c>
      <c r="B6" s="6" t="s">
        <v>708</v>
      </c>
      <c r="C6" s="6" t="s">
        <v>196</v>
      </c>
      <c r="D6" s="6" t="s">
        <v>219</v>
      </c>
      <c r="E6" s="15" t="s">
        <v>147</v>
      </c>
      <c r="F6" s="15">
        <v>0</v>
      </c>
      <c r="G6" s="6">
        <v>1</v>
      </c>
      <c r="H6" s="6">
        <v>2</v>
      </c>
      <c r="I6" s="6">
        <v>1</v>
      </c>
      <c r="J6" s="6" t="s">
        <v>170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123</v>
      </c>
      <c r="P6" s="6">
        <v>124</v>
      </c>
      <c r="Q6" s="6">
        <v>0</v>
      </c>
      <c r="R6" s="22">
        <v>0</v>
      </c>
      <c r="S6" s="22">
        <v>0</v>
      </c>
      <c r="T6" s="24" t="s">
        <v>580</v>
      </c>
      <c r="U6" s="24" t="s">
        <v>579</v>
      </c>
      <c r="X6" s="2" t="s">
        <v>71</v>
      </c>
      <c r="Y6" s="6" t="s">
        <v>90</v>
      </c>
      <c r="Z6" s="6" t="s">
        <v>89</v>
      </c>
      <c r="AE6" s="10">
        <v>1</v>
      </c>
      <c r="AF6" s="10" t="s">
        <v>112</v>
      </c>
      <c r="AG6" s="10" t="s">
        <v>113</v>
      </c>
    </row>
    <row r="7" spans="1:33" x14ac:dyDescent="0.3">
      <c r="A7" s="6">
        <v>106</v>
      </c>
      <c r="B7" s="6" t="s">
        <v>709</v>
      </c>
      <c r="C7" s="6" t="s">
        <v>197</v>
      </c>
      <c r="D7" s="6" t="s">
        <v>220</v>
      </c>
      <c r="E7" s="15" t="s">
        <v>148</v>
      </c>
      <c r="F7" s="15">
        <v>0</v>
      </c>
      <c r="G7" s="6">
        <v>1</v>
      </c>
      <c r="H7" s="6">
        <v>2</v>
      </c>
      <c r="I7" s="6">
        <v>2</v>
      </c>
      <c r="J7" s="6" t="s">
        <v>169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123</v>
      </c>
      <c r="P7" s="6">
        <v>124</v>
      </c>
      <c r="Q7" s="6">
        <v>0</v>
      </c>
      <c r="R7" s="22">
        <v>0</v>
      </c>
      <c r="S7" s="22">
        <v>0</v>
      </c>
      <c r="T7" s="24" t="s">
        <v>580</v>
      </c>
      <c r="U7" s="24" t="s">
        <v>1260</v>
      </c>
      <c r="X7" s="2" t="s">
        <v>72</v>
      </c>
      <c r="Y7" s="6" t="s">
        <v>94</v>
      </c>
      <c r="Z7" s="6" t="s">
        <v>89</v>
      </c>
      <c r="AB7" s="32" t="s">
        <v>103</v>
      </c>
      <c r="AC7" s="33"/>
      <c r="AE7" s="10">
        <v>2</v>
      </c>
      <c r="AF7" s="10" t="s">
        <v>111</v>
      </c>
      <c r="AG7" s="10" t="s">
        <v>114</v>
      </c>
    </row>
    <row r="8" spans="1:33" x14ac:dyDescent="0.3">
      <c r="A8" s="6">
        <v>107</v>
      </c>
      <c r="B8" s="6" t="s">
        <v>710</v>
      </c>
      <c r="C8" s="6" t="s">
        <v>198</v>
      </c>
      <c r="D8" s="6" t="s">
        <v>221</v>
      </c>
      <c r="E8" s="15" t="s">
        <v>142</v>
      </c>
      <c r="F8" s="15">
        <v>0</v>
      </c>
      <c r="G8" s="6">
        <v>1</v>
      </c>
      <c r="H8" s="6">
        <v>2</v>
      </c>
      <c r="I8" s="6">
        <v>1</v>
      </c>
      <c r="J8" s="6" t="s">
        <v>172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24" t="s">
        <v>582</v>
      </c>
      <c r="U8" s="24" t="s">
        <v>1261</v>
      </c>
      <c r="X8" s="2" t="s">
        <v>74</v>
      </c>
      <c r="Y8" s="6" t="s">
        <v>95</v>
      </c>
      <c r="Z8" s="6" t="s">
        <v>97</v>
      </c>
      <c r="AB8" s="6">
        <v>1</v>
      </c>
      <c r="AC8" s="6" t="s">
        <v>104</v>
      </c>
    </row>
    <row r="9" spans="1:33" x14ac:dyDescent="0.3">
      <c r="A9" s="6">
        <v>108</v>
      </c>
      <c r="B9" s="6" t="s">
        <v>172</v>
      </c>
      <c r="C9" s="6" t="s">
        <v>199</v>
      </c>
      <c r="D9" s="6" t="s">
        <v>222</v>
      </c>
      <c r="E9" s="15" t="s">
        <v>149</v>
      </c>
      <c r="F9" s="15">
        <v>0</v>
      </c>
      <c r="G9" s="6">
        <v>1</v>
      </c>
      <c r="H9" s="6">
        <v>2</v>
      </c>
      <c r="I9" s="6">
        <v>2</v>
      </c>
      <c r="J9" s="6" t="s">
        <v>171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24" t="s">
        <v>582</v>
      </c>
      <c r="U9" s="24" t="s">
        <v>1262</v>
      </c>
      <c r="X9" s="2" t="s">
        <v>75</v>
      </c>
      <c r="Y9" s="6" t="s">
        <v>96</v>
      </c>
      <c r="Z9" s="6" t="s">
        <v>97</v>
      </c>
      <c r="AB9" s="6">
        <v>2</v>
      </c>
      <c r="AC9" s="6" t="s">
        <v>105</v>
      </c>
      <c r="AE9" s="32" t="s">
        <v>80</v>
      </c>
      <c r="AF9" s="33"/>
    </row>
    <row r="10" spans="1:33" x14ac:dyDescent="0.3">
      <c r="A10" s="6">
        <v>109</v>
      </c>
      <c r="B10" s="6" t="s">
        <v>711</v>
      </c>
      <c r="C10" s="6" t="s">
        <v>1359</v>
      </c>
      <c r="D10" s="6" t="s">
        <v>1360</v>
      </c>
      <c r="E10" s="15" t="s">
        <v>150</v>
      </c>
      <c r="F10" s="15">
        <v>0</v>
      </c>
      <c r="G10" s="6">
        <v>1</v>
      </c>
      <c r="H10" s="6">
        <v>2</v>
      </c>
      <c r="I10" s="6">
        <v>1</v>
      </c>
      <c r="J10" s="6" t="s">
        <v>174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24" t="s">
        <v>583</v>
      </c>
      <c r="U10" s="24" t="s">
        <v>1263</v>
      </c>
      <c r="X10" s="2" t="s">
        <v>73</v>
      </c>
      <c r="Y10" s="6" t="s">
        <v>98</v>
      </c>
      <c r="Z10" s="6" t="s">
        <v>101</v>
      </c>
      <c r="AB10" s="6">
        <v>3</v>
      </c>
      <c r="AC10" s="6" t="s">
        <v>106</v>
      </c>
      <c r="AE10" s="6">
        <v>1</v>
      </c>
      <c r="AF10" s="6" t="s">
        <v>105</v>
      </c>
    </row>
    <row r="11" spans="1:33" x14ac:dyDescent="0.3">
      <c r="A11" s="6">
        <v>110</v>
      </c>
      <c r="B11" s="6" t="s">
        <v>712</v>
      </c>
      <c r="C11" s="6" t="s">
        <v>1362</v>
      </c>
      <c r="D11" s="6" t="s">
        <v>1361</v>
      </c>
      <c r="E11" s="15" t="s">
        <v>151</v>
      </c>
      <c r="F11" s="15">
        <v>0</v>
      </c>
      <c r="G11" s="6">
        <v>1</v>
      </c>
      <c r="H11" s="6">
        <v>2</v>
      </c>
      <c r="I11" s="6">
        <v>2</v>
      </c>
      <c r="J11" s="6" t="s">
        <v>173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24" t="s">
        <v>583</v>
      </c>
      <c r="U11" s="24" t="s">
        <v>1264</v>
      </c>
      <c r="X11" s="2" t="s">
        <v>79</v>
      </c>
      <c r="Y11" s="6" t="s">
        <v>102</v>
      </c>
      <c r="Z11" s="6" t="s">
        <v>101</v>
      </c>
      <c r="AE11" s="6">
        <v>2</v>
      </c>
      <c r="AF11" s="6" t="s">
        <v>106</v>
      </c>
    </row>
    <row r="12" spans="1:33" x14ac:dyDescent="0.3">
      <c r="A12" s="6">
        <v>111</v>
      </c>
      <c r="B12" s="6" t="s">
        <v>175</v>
      </c>
      <c r="C12" s="6" t="s">
        <v>200</v>
      </c>
      <c r="D12" s="6" t="s">
        <v>223</v>
      </c>
      <c r="E12" s="15" t="s">
        <v>152</v>
      </c>
      <c r="F12" s="15">
        <v>0</v>
      </c>
      <c r="G12" s="6">
        <v>1</v>
      </c>
      <c r="H12" s="6">
        <v>2</v>
      </c>
      <c r="I12" s="6">
        <v>1</v>
      </c>
      <c r="J12" s="6" t="s">
        <v>176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24" t="s">
        <v>584</v>
      </c>
      <c r="U12" s="24" t="s">
        <v>1265</v>
      </c>
      <c r="X12" s="2" t="s">
        <v>77</v>
      </c>
      <c r="Y12" s="6" t="s">
        <v>107</v>
      </c>
      <c r="Z12" s="6" t="s">
        <v>101</v>
      </c>
      <c r="AB12" s="32" t="s">
        <v>78</v>
      </c>
      <c r="AC12" s="33"/>
      <c r="AE12" s="2">
        <v>3</v>
      </c>
      <c r="AF12" s="2" t="s">
        <v>104</v>
      </c>
    </row>
    <row r="13" spans="1:33" x14ac:dyDescent="0.3">
      <c r="A13" s="6">
        <v>112</v>
      </c>
      <c r="B13" s="6" t="s">
        <v>176</v>
      </c>
      <c r="C13" s="6" t="s">
        <v>201</v>
      </c>
      <c r="D13" s="6" t="s">
        <v>224</v>
      </c>
      <c r="E13" s="15" t="s">
        <v>153</v>
      </c>
      <c r="F13" s="15">
        <v>0</v>
      </c>
      <c r="G13" s="6">
        <v>1</v>
      </c>
      <c r="H13" s="6">
        <v>2</v>
      </c>
      <c r="I13" s="6">
        <v>2</v>
      </c>
      <c r="J13" s="6" t="s">
        <v>175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24" t="s">
        <v>584</v>
      </c>
      <c r="U13" s="24" t="s">
        <v>1266</v>
      </c>
      <c r="X13" s="2" t="s">
        <v>76</v>
      </c>
      <c r="Y13" s="6" t="s">
        <v>108</v>
      </c>
      <c r="Z13" s="6" t="s">
        <v>89</v>
      </c>
      <c r="AB13" s="6">
        <v>1</v>
      </c>
      <c r="AC13" s="6" t="s">
        <v>116</v>
      </c>
    </row>
    <row r="14" spans="1:33" x14ac:dyDescent="0.3">
      <c r="A14" s="6">
        <v>113</v>
      </c>
      <c r="B14" s="6" t="s">
        <v>177</v>
      </c>
      <c r="C14" s="6" t="s">
        <v>202</v>
      </c>
      <c r="D14" s="6" t="s">
        <v>225</v>
      </c>
      <c r="E14" s="15" t="s">
        <v>154</v>
      </c>
      <c r="F14" s="15">
        <v>0</v>
      </c>
      <c r="G14" s="6">
        <v>1</v>
      </c>
      <c r="H14" s="6">
        <v>2</v>
      </c>
      <c r="I14" s="6">
        <v>1</v>
      </c>
      <c r="J14" s="6" t="s">
        <v>178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24" t="s">
        <v>580</v>
      </c>
      <c r="U14" s="24" t="s">
        <v>1267</v>
      </c>
      <c r="X14" s="2" t="s">
        <v>78</v>
      </c>
      <c r="Y14" s="6" t="s">
        <v>115</v>
      </c>
      <c r="Z14" s="6" t="s">
        <v>101</v>
      </c>
      <c r="AB14" s="6">
        <v>2</v>
      </c>
      <c r="AC14" s="6" t="s">
        <v>117</v>
      </c>
      <c r="AE14" s="32" t="s">
        <v>81</v>
      </c>
      <c r="AF14" s="33"/>
    </row>
    <row r="15" spans="1:33" x14ac:dyDescent="0.3">
      <c r="A15" s="6">
        <v>114</v>
      </c>
      <c r="B15" s="6" t="s">
        <v>178</v>
      </c>
      <c r="C15" s="6" t="s">
        <v>203</v>
      </c>
      <c r="D15" s="6" t="s">
        <v>226</v>
      </c>
      <c r="E15" s="15" t="s">
        <v>155</v>
      </c>
      <c r="F15" s="15">
        <v>0</v>
      </c>
      <c r="G15" s="6">
        <v>1</v>
      </c>
      <c r="H15" s="6">
        <v>2</v>
      </c>
      <c r="I15" s="6">
        <v>2</v>
      </c>
      <c r="J15" s="6" t="s">
        <v>177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24" t="s">
        <v>611</v>
      </c>
      <c r="U15" s="24" t="s">
        <v>1268</v>
      </c>
      <c r="X15" s="2" t="s">
        <v>80</v>
      </c>
      <c r="Y15" s="6" t="s">
        <v>120</v>
      </c>
      <c r="Z15" s="6" t="s">
        <v>119</v>
      </c>
      <c r="AB15" s="6">
        <v>3</v>
      </c>
      <c r="AC15" s="6" t="s">
        <v>118</v>
      </c>
      <c r="AE15" s="6">
        <v>1</v>
      </c>
      <c r="AF15" s="6" t="s">
        <v>550</v>
      </c>
    </row>
    <row r="16" spans="1:33" x14ac:dyDescent="0.3">
      <c r="A16" s="6">
        <v>115</v>
      </c>
      <c r="B16" s="6" t="s">
        <v>179</v>
      </c>
      <c r="C16" s="6" t="s">
        <v>204</v>
      </c>
      <c r="D16" s="6" t="s">
        <v>227</v>
      </c>
      <c r="E16" s="15" t="s">
        <v>156</v>
      </c>
      <c r="F16" s="15">
        <v>0</v>
      </c>
      <c r="G16" s="6">
        <v>1</v>
      </c>
      <c r="H16" s="6">
        <v>2</v>
      </c>
      <c r="I16" s="6">
        <v>1</v>
      </c>
      <c r="J16" s="6" t="s">
        <v>180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24" t="s">
        <v>585</v>
      </c>
      <c r="U16" s="24" t="s">
        <v>1269</v>
      </c>
      <c r="X16" s="2" t="s">
        <v>81</v>
      </c>
      <c r="Y16" s="6" t="s">
        <v>590</v>
      </c>
      <c r="Z16" s="6" t="s">
        <v>119</v>
      </c>
      <c r="AE16" s="6">
        <v>2</v>
      </c>
      <c r="AF16" s="6"/>
    </row>
    <row r="17" spans="1:32" x14ac:dyDescent="0.3">
      <c r="A17" s="6">
        <v>116</v>
      </c>
      <c r="B17" s="6" t="s">
        <v>180</v>
      </c>
      <c r="C17" s="6" t="s">
        <v>205</v>
      </c>
      <c r="D17" s="6" t="s">
        <v>228</v>
      </c>
      <c r="E17" s="15" t="s">
        <v>157</v>
      </c>
      <c r="F17" s="15">
        <v>0</v>
      </c>
      <c r="G17" s="6">
        <v>1</v>
      </c>
      <c r="H17" s="6">
        <v>2</v>
      </c>
      <c r="I17" s="6">
        <v>2</v>
      </c>
      <c r="J17" s="6" t="s">
        <v>179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24" t="s">
        <v>585</v>
      </c>
      <c r="U17" s="24" t="s">
        <v>1270</v>
      </c>
      <c r="X17" s="2" t="s">
        <v>588</v>
      </c>
      <c r="Y17" s="6" t="s">
        <v>589</v>
      </c>
      <c r="Z17" s="6" t="s">
        <v>123</v>
      </c>
      <c r="AE17" s="6">
        <v>4</v>
      </c>
      <c r="AF17" s="6" t="s">
        <v>334</v>
      </c>
    </row>
    <row r="18" spans="1:32" x14ac:dyDescent="0.3">
      <c r="A18" s="6">
        <v>117</v>
      </c>
      <c r="B18" s="6" t="s">
        <v>181</v>
      </c>
      <c r="C18" s="6" t="s">
        <v>206</v>
      </c>
      <c r="D18" s="6" t="s">
        <v>229</v>
      </c>
      <c r="E18" s="15" t="s">
        <v>158</v>
      </c>
      <c r="F18" s="15">
        <v>0</v>
      </c>
      <c r="G18" s="6">
        <v>1</v>
      </c>
      <c r="H18" s="6">
        <v>2</v>
      </c>
      <c r="I18" s="6">
        <v>1</v>
      </c>
      <c r="J18" s="6" t="s">
        <v>182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24" t="s">
        <v>585</v>
      </c>
      <c r="U18" s="24" t="s">
        <v>1271</v>
      </c>
      <c r="X18" s="2" t="s">
        <v>128</v>
      </c>
      <c r="Y18" s="6" t="s">
        <v>591</v>
      </c>
      <c r="Z18" s="6" t="s">
        <v>89</v>
      </c>
      <c r="AE18" s="6">
        <v>8</v>
      </c>
      <c r="AF18" s="6" t="s">
        <v>335</v>
      </c>
    </row>
    <row r="19" spans="1:32" x14ac:dyDescent="0.3">
      <c r="A19" s="6">
        <v>118</v>
      </c>
      <c r="B19" s="6" t="s">
        <v>182</v>
      </c>
      <c r="C19" s="6" t="s">
        <v>207</v>
      </c>
      <c r="D19" s="6" t="s">
        <v>230</v>
      </c>
      <c r="E19" s="15" t="s">
        <v>159</v>
      </c>
      <c r="F19" s="15">
        <v>0</v>
      </c>
      <c r="G19" s="6">
        <v>1</v>
      </c>
      <c r="H19" s="6">
        <v>2</v>
      </c>
      <c r="I19" s="6">
        <v>2</v>
      </c>
      <c r="J19" s="6" t="s">
        <v>181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24" t="s">
        <v>585</v>
      </c>
      <c r="U19" s="24" t="s">
        <v>1272</v>
      </c>
      <c r="X19" s="2" t="s">
        <v>129</v>
      </c>
      <c r="Y19" s="6" t="s">
        <v>591</v>
      </c>
      <c r="Z19" s="6" t="s">
        <v>89</v>
      </c>
      <c r="AE19" s="6">
        <v>16</v>
      </c>
      <c r="AF19" s="6" t="s">
        <v>336</v>
      </c>
    </row>
    <row r="20" spans="1:32" x14ac:dyDescent="0.3">
      <c r="A20" s="6">
        <v>119</v>
      </c>
      <c r="B20" s="6" t="s">
        <v>183</v>
      </c>
      <c r="C20" s="6" t="s">
        <v>208</v>
      </c>
      <c r="D20" s="6" t="s">
        <v>231</v>
      </c>
      <c r="E20" s="15" t="s">
        <v>160</v>
      </c>
      <c r="F20" s="15">
        <v>0</v>
      </c>
      <c r="G20" s="6">
        <v>1</v>
      </c>
      <c r="H20" s="6">
        <v>2</v>
      </c>
      <c r="I20" s="6">
        <v>1</v>
      </c>
      <c r="J20" s="6" t="s">
        <v>184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124</v>
      </c>
      <c r="P20" s="6">
        <v>0</v>
      </c>
      <c r="Q20" s="6">
        <v>0</v>
      </c>
      <c r="R20" s="22">
        <v>0</v>
      </c>
      <c r="S20" s="22">
        <v>0</v>
      </c>
      <c r="T20" s="24" t="s">
        <v>582</v>
      </c>
      <c r="U20" s="24" t="s">
        <v>1273</v>
      </c>
      <c r="X20" s="2" t="s">
        <v>130</v>
      </c>
      <c r="Y20" s="6" t="s">
        <v>591</v>
      </c>
      <c r="Z20" s="6" t="s">
        <v>89</v>
      </c>
      <c r="AE20" s="6">
        <v>32</v>
      </c>
      <c r="AF20" s="6" t="s">
        <v>263</v>
      </c>
    </row>
    <row r="21" spans="1:32" x14ac:dyDescent="0.3">
      <c r="A21" s="6">
        <v>120</v>
      </c>
      <c r="B21" s="6" t="s">
        <v>184</v>
      </c>
      <c r="C21" s="6" t="s">
        <v>209</v>
      </c>
      <c r="D21" s="6" t="s">
        <v>232</v>
      </c>
      <c r="E21" s="15" t="s">
        <v>161</v>
      </c>
      <c r="F21" s="15">
        <v>0</v>
      </c>
      <c r="G21" s="6">
        <v>1</v>
      </c>
      <c r="H21" s="6">
        <v>2</v>
      </c>
      <c r="I21" s="6">
        <v>2</v>
      </c>
      <c r="J21" s="6" t="s">
        <v>183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124</v>
      </c>
      <c r="P21" s="6">
        <v>0</v>
      </c>
      <c r="Q21" s="6">
        <v>0</v>
      </c>
      <c r="R21" s="22">
        <v>0</v>
      </c>
      <c r="S21" s="22">
        <v>0</v>
      </c>
      <c r="T21" s="24" t="s">
        <v>582</v>
      </c>
      <c r="U21" s="24" t="s">
        <v>1274</v>
      </c>
      <c r="X21" s="2" t="s">
        <v>83</v>
      </c>
      <c r="Y21" s="6" t="s">
        <v>122</v>
      </c>
      <c r="Z21" s="6" t="s">
        <v>89</v>
      </c>
      <c r="AE21" s="6">
        <v>64</v>
      </c>
      <c r="AF21" s="6" t="s">
        <v>265</v>
      </c>
    </row>
    <row r="22" spans="1:32" x14ac:dyDescent="0.3">
      <c r="A22" s="6">
        <v>121</v>
      </c>
      <c r="B22" s="6" t="s">
        <v>713</v>
      </c>
      <c r="C22" s="6" t="s">
        <v>1363</v>
      </c>
      <c r="D22" s="6" t="s">
        <v>1365</v>
      </c>
      <c r="E22" s="15" t="s">
        <v>162</v>
      </c>
      <c r="F22" s="15">
        <v>0</v>
      </c>
      <c r="G22" s="6">
        <v>1</v>
      </c>
      <c r="H22" s="6">
        <v>2</v>
      </c>
      <c r="I22" s="6">
        <v>1</v>
      </c>
      <c r="J22" s="6" t="s">
        <v>246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24" t="s">
        <v>586</v>
      </c>
      <c r="U22" s="24" t="s">
        <v>1275</v>
      </c>
      <c r="X22" s="2" t="s">
        <v>84</v>
      </c>
      <c r="Y22" s="6" t="s">
        <v>121</v>
      </c>
      <c r="Z22" s="6" t="s">
        <v>123</v>
      </c>
      <c r="AE22" s="6">
        <v>128</v>
      </c>
      <c r="AF22" s="6" t="s">
        <v>267</v>
      </c>
    </row>
    <row r="23" spans="1:32" x14ac:dyDescent="0.3">
      <c r="A23" s="6">
        <v>122</v>
      </c>
      <c r="B23" s="6" t="s">
        <v>714</v>
      </c>
      <c r="C23" s="6" t="s">
        <v>1364</v>
      </c>
      <c r="D23" s="6" t="s">
        <v>1366</v>
      </c>
      <c r="E23" s="15" t="s">
        <v>163</v>
      </c>
      <c r="F23" s="15">
        <v>0</v>
      </c>
      <c r="G23" s="6">
        <v>1</v>
      </c>
      <c r="H23" s="6">
        <v>2</v>
      </c>
      <c r="I23" s="6">
        <v>2</v>
      </c>
      <c r="J23" s="6" t="s">
        <v>185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24" t="s">
        <v>586</v>
      </c>
      <c r="U23" s="24" t="s">
        <v>1276</v>
      </c>
      <c r="X23" s="2" t="s">
        <v>126</v>
      </c>
      <c r="Y23" s="6" t="s">
        <v>124</v>
      </c>
      <c r="Z23" s="6" t="s">
        <v>587</v>
      </c>
      <c r="AE23" s="6">
        <v>256</v>
      </c>
      <c r="AF23" s="6" t="s">
        <v>338</v>
      </c>
    </row>
    <row r="24" spans="1:32" x14ac:dyDescent="0.3">
      <c r="A24" s="6">
        <v>123</v>
      </c>
      <c r="B24" s="6" t="s">
        <v>186</v>
      </c>
      <c r="C24" s="6" t="s">
        <v>210</v>
      </c>
      <c r="D24" s="6" t="s">
        <v>233</v>
      </c>
      <c r="E24" s="15" t="s">
        <v>1206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3">
        <v>103</v>
      </c>
      <c r="P24" s="6">
        <v>0</v>
      </c>
      <c r="Q24" s="6">
        <v>0</v>
      </c>
      <c r="R24" s="22">
        <v>0</v>
      </c>
      <c r="S24" s="22">
        <v>0</v>
      </c>
      <c r="T24" s="24" t="s">
        <v>580</v>
      </c>
      <c r="U24" s="24" t="s">
        <v>1277</v>
      </c>
      <c r="X24" s="2" t="s">
        <v>82</v>
      </c>
      <c r="Y24" s="6" t="s">
        <v>127</v>
      </c>
      <c r="Z24" s="6" t="s">
        <v>587</v>
      </c>
      <c r="AE24" s="6">
        <v>512</v>
      </c>
      <c r="AF24" s="6" t="s">
        <v>337</v>
      </c>
    </row>
    <row r="25" spans="1:32" x14ac:dyDescent="0.3">
      <c r="A25" s="6">
        <v>124</v>
      </c>
      <c r="B25" s="6" t="s">
        <v>187</v>
      </c>
      <c r="C25" s="6" t="s">
        <v>211</v>
      </c>
      <c r="D25" s="6" t="s">
        <v>234</v>
      </c>
      <c r="E25" s="15" t="s">
        <v>1207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3">
        <v>103</v>
      </c>
      <c r="P25" s="6">
        <v>0</v>
      </c>
      <c r="Q25" s="6">
        <v>0</v>
      </c>
      <c r="R25" s="22">
        <v>0</v>
      </c>
      <c r="S25" s="22">
        <v>0</v>
      </c>
      <c r="T25" s="24" t="s">
        <v>609</v>
      </c>
      <c r="U25" s="24" t="s">
        <v>1278</v>
      </c>
      <c r="AE25" s="6">
        <v>1023</v>
      </c>
      <c r="AF25" s="6" t="s">
        <v>261</v>
      </c>
    </row>
    <row r="26" spans="1:32" x14ac:dyDescent="0.3">
      <c r="A26" s="6">
        <v>125</v>
      </c>
      <c r="B26" s="6" t="s">
        <v>188</v>
      </c>
      <c r="C26" s="6" t="s">
        <v>212</v>
      </c>
      <c r="D26" s="6" t="s">
        <v>235</v>
      </c>
      <c r="E26" s="15" t="s">
        <v>1208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3">
        <v>103</v>
      </c>
      <c r="P26" s="6">
        <v>0</v>
      </c>
      <c r="Q26" s="6">
        <v>0</v>
      </c>
      <c r="R26" s="22">
        <v>0</v>
      </c>
      <c r="S26" s="22">
        <v>0</v>
      </c>
      <c r="T26" s="24" t="s">
        <v>610</v>
      </c>
      <c r="U26" s="24" t="s">
        <v>1279</v>
      </c>
    </row>
    <row r="27" spans="1:32" x14ac:dyDescent="0.3">
      <c r="A27" s="6">
        <v>126</v>
      </c>
      <c r="B27" s="6" t="s">
        <v>189</v>
      </c>
      <c r="C27" s="6" t="s">
        <v>213</v>
      </c>
      <c r="D27" s="6" t="s">
        <v>236</v>
      </c>
      <c r="E27" s="15" t="s">
        <v>164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24">
        <v>0</v>
      </c>
      <c r="U27" s="24" t="s">
        <v>1280</v>
      </c>
    </row>
    <row r="28" spans="1:32" x14ac:dyDescent="0.3">
      <c r="A28" s="6">
        <v>127</v>
      </c>
      <c r="B28" s="6" t="s">
        <v>190</v>
      </c>
      <c r="C28" s="6" t="s">
        <v>214</v>
      </c>
      <c r="D28" s="6" t="s">
        <v>237</v>
      </c>
      <c r="E28" s="15" t="s">
        <v>165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24">
        <v>0</v>
      </c>
      <c r="U28" s="24" t="s">
        <v>1281</v>
      </c>
    </row>
    <row r="29" spans="1:32" x14ac:dyDescent="0.3">
      <c r="A29" s="6">
        <v>128</v>
      </c>
      <c r="B29" s="6" t="s">
        <v>191</v>
      </c>
      <c r="C29" s="6" t="s">
        <v>252</v>
      </c>
      <c r="D29" s="6" t="s">
        <v>238</v>
      </c>
      <c r="E29" s="15" t="s">
        <v>166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24">
        <v>0</v>
      </c>
      <c r="U29" s="24" t="s">
        <v>1282</v>
      </c>
    </row>
    <row r="30" spans="1:32" x14ac:dyDescent="0.3">
      <c r="A30" s="6">
        <v>129</v>
      </c>
      <c r="B30" s="6" t="s">
        <v>697</v>
      </c>
      <c r="C30" s="6" t="s">
        <v>698</v>
      </c>
      <c r="D30" s="6" t="s">
        <v>699</v>
      </c>
      <c r="E30" s="15" t="s">
        <v>239</v>
      </c>
      <c r="F30" s="15">
        <v>0</v>
      </c>
      <c r="G30" s="6">
        <v>1</v>
      </c>
      <c r="H30" s="6">
        <v>2</v>
      </c>
      <c r="I30" s="6">
        <v>1</v>
      </c>
      <c r="J30" s="6" t="s">
        <v>247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104</v>
      </c>
      <c r="P30" s="6">
        <v>105</v>
      </c>
      <c r="Q30" s="6">
        <v>106</v>
      </c>
      <c r="R30" s="22">
        <v>0</v>
      </c>
      <c r="S30" s="22">
        <v>0</v>
      </c>
      <c r="T30" s="24" t="s">
        <v>609</v>
      </c>
      <c r="U30" s="24" t="s">
        <v>1283</v>
      </c>
    </row>
    <row r="31" spans="1:32" x14ac:dyDescent="0.3">
      <c r="A31" s="6">
        <v>130</v>
      </c>
      <c r="B31" s="6" t="s">
        <v>700</v>
      </c>
      <c r="C31" s="6" t="s">
        <v>701</v>
      </c>
      <c r="D31" s="6" t="s">
        <v>702</v>
      </c>
      <c r="E31" s="15" t="s">
        <v>242</v>
      </c>
      <c r="F31" s="15">
        <v>0</v>
      </c>
      <c r="G31" s="6">
        <v>1</v>
      </c>
      <c r="H31" s="6">
        <v>2</v>
      </c>
      <c r="I31" s="6">
        <v>2</v>
      </c>
      <c r="J31" s="6" t="s">
        <v>245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104</v>
      </c>
      <c r="P31" s="6">
        <v>107</v>
      </c>
      <c r="Q31" s="6">
        <v>106</v>
      </c>
      <c r="R31" s="22">
        <v>0</v>
      </c>
      <c r="S31" s="22">
        <v>0</v>
      </c>
      <c r="T31" s="24" t="s">
        <v>609</v>
      </c>
      <c r="U31" s="24" t="s">
        <v>1284</v>
      </c>
    </row>
    <row r="32" spans="1:32" x14ac:dyDescent="0.3">
      <c r="A32" s="6">
        <v>131</v>
      </c>
      <c r="B32" s="6" t="s">
        <v>248</v>
      </c>
      <c r="C32" s="6" t="s">
        <v>253</v>
      </c>
      <c r="D32" s="6" t="s">
        <v>257</v>
      </c>
      <c r="E32" s="15" t="s">
        <v>240</v>
      </c>
      <c r="F32" s="15">
        <v>0</v>
      </c>
      <c r="G32" s="6">
        <v>1</v>
      </c>
      <c r="H32" s="6">
        <v>2</v>
      </c>
      <c r="I32" s="6">
        <v>1</v>
      </c>
      <c r="J32" s="6" t="s">
        <v>249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108</v>
      </c>
      <c r="P32" s="6">
        <v>0</v>
      </c>
      <c r="Q32" s="6">
        <v>0</v>
      </c>
      <c r="R32" s="22">
        <v>0</v>
      </c>
      <c r="S32" s="22">
        <v>0</v>
      </c>
      <c r="T32" s="24" t="s">
        <v>611</v>
      </c>
      <c r="U32" s="24" t="s">
        <v>1285</v>
      </c>
    </row>
    <row r="33" spans="1:21" x14ac:dyDescent="0.3">
      <c r="A33" s="6">
        <v>132</v>
      </c>
      <c r="B33" s="6" t="s">
        <v>249</v>
      </c>
      <c r="C33" s="6" t="s">
        <v>254</v>
      </c>
      <c r="D33" s="6" t="s">
        <v>258</v>
      </c>
      <c r="E33" s="15" t="s">
        <v>243</v>
      </c>
      <c r="F33" s="15">
        <v>0</v>
      </c>
      <c r="G33" s="6">
        <v>1</v>
      </c>
      <c r="H33" s="6">
        <v>2</v>
      </c>
      <c r="I33" s="6">
        <v>2</v>
      </c>
      <c r="J33" s="6" t="s">
        <v>248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109</v>
      </c>
      <c r="P33" s="6">
        <v>0</v>
      </c>
      <c r="Q33" s="6">
        <v>0</v>
      </c>
      <c r="R33" s="22">
        <v>0</v>
      </c>
      <c r="S33" s="22">
        <v>0</v>
      </c>
      <c r="T33" s="24" t="s">
        <v>611</v>
      </c>
      <c r="U33" s="24" t="s">
        <v>1286</v>
      </c>
    </row>
    <row r="34" spans="1:21" x14ac:dyDescent="0.3">
      <c r="A34" s="6">
        <v>133</v>
      </c>
      <c r="B34" s="6" t="s">
        <v>250</v>
      </c>
      <c r="C34" s="6" t="s">
        <v>255</v>
      </c>
      <c r="D34" s="6" t="s">
        <v>259</v>
      </c>
      <c r="E34" s="15" t="s">
        <v>241</v>
      </c>
      <c r="F34" s="15">
        <v>0</v>
      </c>
      <c r="G34" s="6">
        <v>1</v>
      </c>
      <c r="H34" s="6">
        <v>2</v>
      </c>
      <c r="I34" s="6">
        <v>1</v>
      </c>
      <c r="J34" s="6" t="s">
        <v>251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110</v>
      </c>
      <c r="P34" s="6">
        <v>111</v>
      </c>
      <c r="Q34" s="6">
        <v>112</v>
      </c>
      <c r="R34" s="22">
        <v>0</v>
      </c>
      <c r="S34" s="22">
        <v>0</v>
      </c>
      <c r="T34" s="24" t="s">
        <v>612</v>
      </c>
      <c r="U34" s="24" t="s">
        <v>1287</v>
      </c>
    </row>
    <row r="35" spans="1:21" x14ac:dyDescent="0.3">
      <c r="A35" s="6">
        <v>134</v>
      </c>
      <c r="B35" s="6" t="s">
        <v>251</v>
      </c>
      <c r="C35" s="6" t="s">
        <v>256</v>
      </c>
      <c r="D35" s="6" t="s">
        <v>260</v>
      </c>
      <c r="E35" s="15" t="s">
        <v>244</v>
      </c>
      <c r="F35" s="15">
        <v>0</v>
      </c>
      <c r="G35" s="6">
        <v>1</v>
      </c>
      <c r="H35" s="6">
        <v>2</v>
      </c>
      <c r="I35" s="6">
        <v>2</v>
      </c>
      <c r="J35" s="6" t="s">
        <v>250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113</v>
      </c>
      <c r="P35" s="6">
        <v>114</v>
      </c>
      <c r="Q35" s="6">
        <v>115</v>
      </c>
      <c r="R35" s="22">
        <v>0</v>
      </c>
      <c r="S35" s="22">
        <v>0</v>
      </c>
      <c r="T35" s="24" t="s">
        <v>612</v>
      </c>
      <c r="U35" s="24" t="s">
        <v>1288</v>
      </c>
    </row>
    <row r="36" spans="1:21" x14ac:dyDescent="0.3">
      <c r="A36" s="6">
        <v>201</v>
      </c>
      <c r="B36" s="6" t="s">
        <v>271</v>
      </c>
      <c r="C36" s="6" t="s">
        <v>272</v>
      </c>
      <c r="D36" s="6" t="s">
        <v>273</v>
      </c>
      <c r="E36" s="15" t="s">
        <v>270</v>
      </c>
      <c r="F36" s="15">
        <v>0</v>
      </c>
      <c r="G36" s="6">
        <v>1</v>
      </c>
      <c r="H36" s="6">
        <v>3</v>
      </c>
      <c r="I36" s="6">
        <v>1</v>
      </c>
      <c r="J36" s="6" t="s">
        <v>274</v>
      </c>
      <c r="K36" s="6">
        <v>1</v>
      </c>
      <c r="L36" s="6">
        <v>2</v>
      </c>
      <c r="M36" s="21">
        <v>257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24">
        <v>0</v>
      </c>
      <c r="U36" s="24">
        <v>0</v>
      </c>
    </row>
    <row r="37" spans="1:21" x14ac:dyDescent="0.3">
      <c r="A37" s="6">
        <v>202</v>
      </c>
      <c r="B37" s="6" t="s">
        <v>274</v>
      </c>
      <c r="C37" s="6" t="s">
        <v>275</v>
      </c>
      <c r="D37" s="6" t="s">
        <v>276</v>
      </c>
      <c r="E37" s="15" t="s">
        <v>277</v>
      </c>
      <c r="F37" s="15">
        <v>0</v>
      </c>
      <c r="G37" s="6">
        <v>1</v>
      </c>
      <c r="H37" s="6">
        <v>3</v>
      </c>
      <c r="I37" s="6">
        <v>2</v>
      </c>
      <c r="J37" s="6" t="s">
        <v>271</v>
      </c>
      <c r="K37" s="6">
        <v>1</v>
      </c>
      <c r="L37" s="6">
        <v>2</v>
      </c>
      <c r="M37" s="21">
        <v>257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24">
        <v>0</v>
      </c>
      <c r="U37" s="24">
        <v>0</v>
      </c>
    </row>
    <row r="38" spans="1:21" x14ac:dyDescent="0.3">
      <c r="A38" s="6">
        <v>203</v>
      </c>
      <c r="B38" s="6" t="s">
        <v>357</v>
      </c>
      <c r="C38" s="6" t="s">
        <v>340</v>
      </c>
      <c r="D38" s="6" t="s">
        <v>341</v>
      </c>
      <c r="E38" s="15" t="s">
        <v>278</v>
      </c>
      <c r="F38" s="15">
        <v>0</v>
      </c>
      <c r="G38" s="6">
        <v>1</v>
      </c>
      <c r="H38" s="6">
        <v>3</v>
      </c>
      <c r="I38" s="6">
        <v>1</v>
      </c>
      <c r="J38" s="6" t="s">
        <v>342</v>
      </c>
      <c r="K38" s="6">
        <v>2</v>
      </c>
      <c r="L38" s="6">
        <v>2</v>
      </c>
      <c r="M38" s="21">
        <v>768</v>
      </c>
      <c r="N38" s="6">
        <v>2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24">
        <v>0</v>
      </c>
      <c r="U38" s="24">
        <v>0</v>
      </c>
    </row>
    <row r="39" spans="1:21" x14ac:dyDescent="0.3">
      <c r="A39" s="6">
        <v>204</v>
      </c>
      <c r="B39" s="6" t="s">
        <v>358</v>
      </c>
      <c r="C39" s="6" t="s">
        <v>343</v>
      </c>
      <c r="D39" s="6" t="s">
        <v>344</v>
      </c>
      <c r="E39" s="15" t="s">
        <v>279</v>
      </c>
      <c r="F39" s="15">
        <v>0</v>
      </c>
      <c r="G39" s="6">
        <v>1</v>
      </c>
      <c r="H39" s="6">
        <v>3</v>
      </c>
      <c r="I39" s="6">
        <v>2</v>
      </c>
      <c r="J39" s="6" t="s">
        <v>339</v>
      </c>
      <c r="K39" s="6">
        <v>2</v>
      </c>
      <c r="L39" s="6">
        <v>2</v>
      </c>
      <c r="M39" s="21">
        <v>768</v>
      </c>
      <c r="N39" s="6">
        <v>1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24">
        <v>0</v>
      </c>
      <c r="U39" s="24">
        <v>0</v>
      </c>
    </row>
    <row r="40" spans="1:21" x14ac:dyDescent="0.3">
      <c r="A40" s="6">
        <v>205</v>
      </c>
      <c r="B40" s="6" t="s">
        <v>345</v>
      </c>
      <c r="C40" s="6" t="s">
        <v>347</v>
      </c>
      <c r="D40" s="6" t="s">
        <v>349</v>
      </c>
      <c r="E40" s="15" t="s">
        <v>280</v>
      </c>
      <c r="F40" s="15">
        <v>0</v>
      </c>
      <c r="G40" s="6">
        <v>2</v>
      </c>
      <c r="H40" s="6">
        <v>3</v>
      </c>
      <c r="I40" s="6">
        <v>1</v>
      </c>
      <c r="J40" s="6" t="s">
        <v>346</v>
      </c>
      <c r="K40" s="6">
        <v>2</v>
      </c>
      <c r="L40" s="6">
        <v>2</v>
      </c>
      <c r="M40" s="21">
        <v>384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24">
        <v>0</v>
      </c>
      <c r="U40" s="24">
        <v>0</v>
      </c>
    </row>
    <row r="41" spans="1:21" x14ac:dyDescent="0.3">
      <c r="A41" s="6">
        <v>206</v>
      </c>
      <c r="B41" s="6" t="s">
        <v>346</v>
      </c>
      <c r="C41" s="6" t="s">
        <v>348</v>
      </c>
      <c r="D41" s="6" t="s">
        <v>350</v>
      </c>
      <c r="E41" s="15" t="s">
        <v>281</v>
      </c>
      <c r="F41" s="15">
        <v>0</v>
      </c>
      <c r="G41" s="6">
        <v>2</v>
      </c>
      <c r="H41" s="6">
        <v>3</v>
      </c>
      <c r="I41" s="6">
        <v>2</v>
      </c>
      <c r="J41" s="6" t="s">
        <v>345</v>
      </c>
      <c r="K41" s="6">
        <v>2</v>
      </c>
      <c r="L41" s="6">
        <v>2</v>
      </c>
      <c r="M41" s="21">
        <v>384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24">
        <v>0</v>
      </c>
      <c r="U41" s="24">
        <v>0</v>
      </c>
    </row>
    <row r="42" spans="1:21" x14ac:dyDescent="0.3">
      <c r="A42" s="6">
        <v>207</v>
      </c>
      <c r="B42" s="6" t="s">
        <v>359</v>
      </c>
      <c r="C42" s="6" t="s">
        <v>353</v>
      </c>
      <c r="D42" s="6" t="s">
        <v>355</v>
      </c>
      <c r="E42" s="15" t="s">
        <v>282</v>
      </c>
      <c r="F42" s="15">
        <v>0</v>
      </c>
      <c r="G42" s="6">
        <v>1</v>
      </c>
      <c r="H42" s="6">
        <v>3</v>
      </c>
      <c r="I42" s="6">
        <v>1</v>
      </c>
      <c r="J42" s="6" t="s">
        <v>352</v>
      </c>
      <c r="K42" s="6">
        <v>1</v>
      </c>
      <c r="L42" s="6">
        <v>2</v>
      </c>
      <c r="M42" s="21">
        <v>768</v>
      </c>
      <c r="N42" s="6">
        <v>1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24">
        <v>0</v>
      </c>
      <c r="U42" s="24">
        <v>0</v>
      </c>
    </row>
    <row r="43" spans="1:21" x14ac:dyDescent="0.3">
      <c r="A43" s="6">
        <v>208</v>
      </c>
      <c r="B43" s="6" t="s">
        <v>360</v>
      </c>
      <c r="C43" s="6" t="s">
        <v>354</v>
      </c>
      <c r="D43" s="6" t="s">
        <v>356</v>
      </c>
      <c r="E43" s="15" t="s">
        <v>283</v>
      </c>
      <c r="F43" s="15">
        <v>0</v>
      </c>
      <c r="G43" s="6">
        <v>1</v>
      </c>
      <c r="H43" s="6">
        <v>3</v>
      </c>
      <c r="I43" s="6">
        <v>2</v>
      </c>
      <c r="J43" s="6" t="s">
        <v>351</v>
      </c>
      <c r="K43" s="6">
        <v>1</v>
      </c>
      <c r="L43" s="6">
        <v>2</v>
      </c>
      <c r="M43" s="21">
        <v>768</v>
      </c>
      <c r="N43" s="6">
        <v>1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24">
        <v>0</v>
      </c>
      <c r="U43" s="24">
        <v>0</v>
      </c>
    </row>
    <row r="44" spans="1:21" x14ac:dyDescent="0.3">
      <c r="A44" s="6">
        <v>209</v>
      </c>
      <c r="B44" s="6" t="s">
        <v>361</v>
      </c>
      <c r="C44" s="6" t="s">
        <v>448</v>
      </c>
      <c r="D44" s="6" t="s">
        <v>498</v>
      </c>
      <c r="E44" s="15" t="s">
        <v>284</v>
      </c>
      <c r="F44" s="15">
        <v>0</v>
      </c>
      <c r="G44" s="6">
        <v>1</v>
      </c>
      <c r="H44" s="6">
        <v>3</v>
      </c>
      <c r="I44" s="6">
        <v>1</v>
      </c>
      <c r="J44" s="6" t="s">
        <v>406</v>
      </c>
      <c r="K44" s="6">
        <v>2</v>
      </c>
      <c r="L44" s="6">
        <v>2</v>
      </c>
      <c r="M44" s="21">
        <v>768</v>
      </c>
      <c r="N44" s="6">
        <v>3</v>
      </c>
      <c r="O44" s="6">
        <v>0</v>
      </c>
      <c r="P44" s="6">
        <v>0</v>
      </c>
      <c r="Q44" s="6">
        <v>0</v>
      </c>
      <c r="R44" s="22">
        <v>0</v>
      </c>
      <c r="S44" s="22">
        <v>0</v>
      </c>
      <c r="T44" s="24">
        <v>0</v>
      </c>
      <c r="U44" s="24">
        <v>0</v>
      </c>
    </row>
    <row r="45" spans="1:21" x14ac:dyDescent="0.3">
      <c r="A45" s="6">
        <v>210</v>
      </c>
      <c r="B45" s="6" t="s">
        <v>406</v>
      </c>
      <c r="C45" s="6" t="s">
        <v>449</v>
      </c>
      <c r="D45" s="6" t="s">
        <v>499</v>
      </c>
      <c r="E45" s="15" t="s">
        <v>285</v>
      </c>
      <c r="F45" s="15">
        <v>0</v>
      </c>
      <c r="G45" s="6">
        <v>1</v>
      </c>
      <c r="H45" s="6">
        <v>3</v>
      </c>
      <c r="I45" s="6">
        <v>2</v>
      </c>
      <c r="J45" s="6" t="s">
        <v>361</v>
      </c>
      <c r="K45" s="6">
        <v>2</v>
      </c>
      <c r="L45" s="6">
        <v>2</v>
      </c>
      <c r="M45" s="21">
        <v>768</v>
      </c>
      <c r="N45" s="6">
        <v>2</v>
      </c>
      <c r="O45" s="6">
        <v>0</v>
      </c>
      <c r="P45" s="6">
        <v>0</v>
      </c>
      <c r="Q45" s="6">
        <v>0</v>
      </c>
      <c r="R45" s="22">
        <v>0</v>
      </c>
      <c r="S45" s="22">
        <v>0</v>
      </c>
      <c r="T45" s="24">
        <v>0</v>
      </c>
      <c r="U45" s="24">
        <v>0</v>
      </c>
    </row>
    <row r="46" spans="1:21" x14ac:dyDescent="0.3">
      <c r="A46" s="6">
        <v>211</v>
      </c>
      <c r="B46" s="6" t="s">
        <v>362</v>
      </c>
      <c r="C46" s="6" t="s">
        <v>450</v>
      </c>
      <c r="D46" s="6" t="s">
        <v>500</v>
      </c>
      <c r="E46" s="15" t="s">
        <v>286</v>
      </c>
      <c r="F46" s="15">
        <v>0</v>
      </c>
      <c r="G46" s="6">
        <v>1</v>
      </c>
      <c r="H46" s="6">
        <v>3</v>
      </c>
      <c r="I46" s="6">
        <v>1</v>
      </c>
      <c r="J46" s="6" t="s">
        <v>363</v>
      </c>
      <c r="K46" s="6">
        <v>1</v>
      </c>
      <c r="L46" s="6">
        <v>2</v>
      </c>
      <c r="M46" s="21">
        <v>768</v>
      </c>
      <c r="N46" s="6">
        <v>1</v>
      </c>
      <c r="O46" s="6">
        <v>0</v>
      </c>
      <c r="P46" s="6">
        <v>0</v>
      </c>
      <c r="Q46" s="6">
        <v>0</v>
      </c>
      <c r="R46" s="22">
        <v>0</v>
      </c>
      <c r="S46" s="22">
        <v>0</v>
      </c>
      <c r="T46" s="24">
        <v>0</v>
      </c>
      <c r="U46" s="24">
        <v>0</v>
      </c>
    </row>
    <row r="47" spans="1:21" x14ac:dyDescent="0.3">
      <c r="A47" s="6">
        <v>212</v>
      </c>
      <c r="B47" s="6" t="s">
        <v>363</v>
      </c>
      <c r="C47" s="6" t="s">
        <v>451</v>
      </c>
      <c r="D47" s="6" t="s">
        <v>501</v>
      </c>
      <c r="E47" s="15" t="s">
        <v>288</v>
      </c>
      <c r="F47" s="15">
        <v>0</v>
      </c>
      <c r="G47" s="6">
        <v>1</v>
      </c>
      <c r="H47" s="6">
        <v>3</v>
      </c>
      <c r="I47" s="6">
        <v>2</v>
      </c>
      <c r="J47" s="6" t="s">
        <v>548</v>
      </c>
      <c r="K47" s="6">
        <v>1</v>
      </c>
      <c r="L47" s="6">
        <v>2</v>
      </c>
      <c r="M47" s="21">
        <v>768</v>
      </c>
      <c r="N47" s="6">
        <v>1</v>
      </c>
      <c r="O47" s="6">
        <v>0</v>
      </c>
      <c r="P47" s="6">
        <v>0</v>
      </c>
      <c r="Q47" s="6">
        <v>0</v>
      </c>
      <c r="R47" s="22">
        <v>0</v>
      </c>
      <c r="S47" s="22">
        <v>0</v>
      </c>
      <c r="T47" s="24">
        <v>0</v>
      </c>
      <c r="U47" s="24">
        <v>0</v>
      </c>
    </row>
    <row r="48" spans="1:21" x14ac:dyDescent="0.3">
      <c r="A48" s="6">
        <v>213</v>
      </c>
      <c r="B48" s="6" t="s">
        <v>364</v>
      </c>
      <c r="C48" s="6" t="s">
        <v>452</v>
      </c>
      <c r="D48" s="6" t="s">
        <v>502</v>
      </c>
      <c r="E48" s="15" t="s">
        <v>287</v>
      </c>
      <c r="F48" s="15">
        <v>0</v>
      </c>
      <c r="G48" s="6">
        <v>1</v>
      </c>
      <c r="H48" s="6">
        <v>3</v>
      </c>
      <c r="I48" s="6">
        <v>1</v>
      </c>
      <c r="J48" s="6" t="s">
        <v>407</v>
      </c>
      <c r="K48" s="6">
        <v>2</v>
      </c>
      <c r="L48" s="6">
        <v>2</v>
      </c>
      <c r="M48" s="21">
        <v>768</v>
      </c>
      <c r="N48" s="6">
        <v>3</v>
      </c>
      <c r="O48" s="6">
        <v>0</v>
      </c>
      <c r="P48" s="6">
        <v>0</v>
      </c>
      <c r="Q48" s="6">
        <v>0</v>
      </c>
      <c r="R48" s="22">
        <v>0</v>
      </c>
      <c r="S48" s="22">
        <v>0</v>
      </c>
      <c r="T48" s="24">
        <v>0</v>
      </c>
      <c r="U48" s="24">
        <v>0</v>
      </c>
    </row>
    <row r="49" spans="1:21" x14ac:dyDescent="0.3">
      <c r="A49" s="6">
        <v>214</v>
      </c>
      <c r="B49" s="6" t="s">
        <v>407</v>
      </c>
      <c r="C49" s="6" t="s">
        <v>453</v>
      </c>
      <c r="D49" s="6" t="s">
        <v>503</v>
      </c>
      <c r="E49" s="15" t="s">
        <v>289</v>
      </c>
      <c r="F49" s="15">
        <v>0</v>
      </c>
      <c r="G49" s="6">
        <v>1</v>
      </c>
      <c r="H49" s="6">
        <v>3</v>
      </c>
      <c r="I49" s="6">
        <v>2</v>
      </c>
      <c r="J49" s="6" t="s">
        <v>549</v>
      </c>
      <c r="K49" s="6">
        <v>2</v>
      </c>
      <c r="L49" s="6">
        <v>2</v>
      </c>
      <c r="M49" s="21">
        <v>768</v>
      </c>
      <c r="N49" s="6">
        <v>2</v>
      </c>
      <c r="O49" s="6">
        <v>0</v>
      </c>
      <c r="P49" s="6">
        <v>0</v>
      </c>
      <c r="Q49" s="6">
        <v>0</v>
      </c>
      <c r="R49" s="22">
        <v>0</v>
      </c>
      <c r="S49" s="22">
        <v>0</v>
      </c>
      <c r="T49" s="24">
        <v>0</v>
      </c>
      <c r="U49" s="24">
        <v>0</v>
      </c>
    </row>
    <row r="50" spans="1:21" x14ac:dyDescent="0.3">
      <c r="A50" s="6">
        <v>215</v>
      </c>
      <c r="B50" s="6" t="s">
        <v>365</v>
      </c>
      <c r="C50" s="6" t="s">
        <v>454</v>
      </c>
      <c r="D50" s="6" t="s">
        <v>504</v>
      </c>
      <c r="E50" s="15" t="s">
        <v>290</v>
      </c>
      <c r="F50" s="15">
        <v>0</v>
      </c>
      <c r="G50" s="6">
        <v>1</v>
      </c>
      <c r="H50" s="6">
        <v>3</v>
      </c>
      <c r="I50" s="6">
        <v>1</v>
      </c>
      <c r="J50" s="6" t="s">
        <v>408</v>
      </c>
      <c r="K50" s="6">
        <v>2</v>
      </c>
      <c r="L50" s="6">
        <v>2</v>
      </c>
      <c r="M50" s="21">
        <v>768</v>
      </c>
      <c r="N50" s="6">
        <v>4</v>
      </c>
      <c r="O50" s="6">
        <v>0</v>
      </c>
      <c r="P50" s="6">
        <v>0</v>
      </c>
      <c r="Q50" s="6">
        <v>0</v>
      </c>
      <c r="R50" s="22">
        <v>0</v>
      </c>
      <c r="S50" s="22">
        <v>0</v>
      </c>
      <c r="T50" s="24">
        <v>0</v>
      </c>
      <c r="U50" s="24">
        <v>0</v>
      </c>
    </row>
    <row r="51" spans="1:21" x14ac:dyDescent="0.3">
      <c r="A51" s="6">
        <v>216</v>
      </c>
      <c r="B51" s="6" t="s">
        <v>408</v>
      </c>
      <c r="C51" s="6" t="s">
        <v>455</v>
      </c>
      <c r="D51" s="6" t="s">
        <v>505</v>
      </c>
      <c r="E51" s="15" t="s">
        <v>291</v>
      </c>
      <c r="F51" s="15">
        <v>0</v>
      </c>
      <c r="G51" s="6">
        <v>1</v>
      </c>
      <c r="H51" s="6">
        <v>3</v>
      </c>
      <c r="I51" s="6">
        <v>2</v>
      </c>
      <c r="J51" s="6" t="s">
        <v>366</v>
      </c>
      <c r="K51" s="6">
        <v>2</v>
      </c>
      <c r="L51" s="6">
        <v>2</v>
      </c>
      <c r="M51" s="21">
        <v>768</v>
      </c>
      <c r="N51" s="6">
        <v>4</v>
      </c>
      <c r="O51" s="6">
        <v>0</v>
      </c>
      <c r="P51" s="6">
        <v>0</v>
      </c>
      <c r="Q51" s="6">
        <v>0</v>
      </c>
      <c r="R51" s="22">
        <v>0</v>
      </c>
      <c r="S51" s="22">
        <v>0</v>
      </c>
      <c r="T51" s="24">
        <v>0</v>
      </c>
      <c r="U51" s="24">
        <v>0</v>
      </c>
    </row>
    <row r="52" spans="1:21" x14ac:dyDescent="0.3">
      <c r="A52" s="6">
        <v>217</v>
      </c>
      <c r="B52" s="6" t="s">
        <v>367</v>
      </c>
      <c r="C52" s="6" t="s">
        <v>456</v>
      </c>
      <c r="D52" s="6" t="s">
        <v>506</v>
      </c>
      <c r="E52" s="15" t="s">
        <v>292</v>
      </c>
      <c r="F52" s="15">
        <v>0</v>
      </c>
      <c r="G52" s="6">
        <v>1</v>
      </c>
      <c r="H52" s="6">
        <v>3</v>
      </c>
      <c r="I52" s="6">
        <v>1</v>
      </c>
      <c r="J52" s="6" t="s">
        <v>409</v>
      </c>
      <c r="K52" s="6">
        <v>3</v>
      </c>
      <c r="L52" s="6">
        <v>2</v>
      </c>
      <c r="M52" s="21">
        <v>768</v>
      </c>
      <c r="N52" s="6">
        <v>5</v>
      </c>
      <c r="O52" s="6">
        <v>0</v>
      </c>
      <c r="P52" s="6">
        <v>0</v>
      </c>
      <c r="Q52" s="6">
        <v>0</v>
      </c>
      <c r="R52" s="22">
        <v>0</v>
      </c>
      <c r="S52" s="22">
        <v>0</v>
      </c>
      <c r="T52" s="24">
        <v>0</v>
      </c>
      <c r="U52" s="24">
        <v>0</v>
      </c>
    </row>
    <row r="53" spans="1:21" x14ac:dyDescent="0.3">
      <c r="A53" s="6">
        <v>218</v>
      </c>
      <c r="B53" s="6" t="s">
        <v>409</v>
      </c>
      <c r="C53" s="6" t="s">
        <v>457</v>
      </c>
      <c r="D53" s="6" t="s">
        <v>507</v>
      </c>
      <c r="E53" s="15" t="s">
        <v>293</v>
      </c>
      <c r="F53" s="15">
        <v>0</v>
      </c>
      <c r="G53" s="6">
        <v>1</v>
      </c>
      <c r="H53" s="6">
        <v>3</v>
      </c>
      <c r="I53" s="6">
        <v>2</v>
      </c>
      <c r="J53" s="6" t="s">
        <v>367</v>
      </c>
      <c r="K53" s="6">
        <v>3</v>
      </c>
      <c r="L53" s="6">
        <v>2</v>
      </c>
      <c r="M53" s="21">
        <v>768</v>
      </c>
      <c r="N53" s="6">
        <v>5</v>
      </c>
      <c r="O53" s="6">
        <v>0</v>
      </c>
      <c r="P53" s="6">
        <v>0</v>
      </c>
      <c r="Q53" s="6">
        <v>0</v>
      </c>
      <c r="R53" s="22">
        <v>0</v>
      </c>
      <c r="S53" s="22">
        <v>0</v>
      </c>
      <c r="T53" s="24">
        <v>0</v>
      </c>
      <c r="U53" s="24">
        <v>0</v>
      </c>
    </row>
    <row r="54" spans="1:21" x14ac:dyDescent="0.3">
      <c r="A54" s="6">
        <v>219</v>
      </c>
      <c r="B54" s="6" t="s">
        <v>368</v>
      </c>
      <c r="C54" s="6" t="s">
        <v>458</v>
      </c>
      <c r="D54" s="6" t="s">
        <v>508</v>
      </c>
      <c r="E54" s="15" t="s">
        <v>294</v>
      </c>
      <c r="F54" s="15">
        <v>0</v>
      </c>
      <c r="G54" s="6">
        <v>1</v>
      </c>
      <c r="H54" s="6">
        <v>3</v>
      </c>
      <c r="I54" s="6">
        <v>1</v>
      </c>
      <c r="J54" s="6" t="s">
        <v>410</v>
      </c>
      <c r="K54" s="6">
        <v>1</v>
      </c>
      <c r="L54" s="6">
        <v>2</v>
      </c>
      <c r="M54" s="21">
        <v>0</v>
      </c>
      <c r="N54" s="6">
        <v>0</v>
      </c>
      <c r="O54" s="6">
        <v>0</v>
      </c>
      <c r="P54" s="6">
        <v>0</v>
      </c>
      <c r="Q54" s="6">
        <v>0</v>
      </c>
      <c r="R54" s="22">
        <v>0</v>
      </c>
      <c r="S54" s="22">
        <v>0</v>
      </c>
      <c r="T54" s="24">
        <v>0</v>
      </c>
      <c r="U54" s="24">
        <v>0</v>
      </c>
    </row>
    <row r="55" spans="1:21" x14ac:dyDescent="0.3">
      <c r="A55" s="6">
        <v>220</v>
      </c>
      <c r="B55" s="6" t="s">
        <v>410</v>
      </c>
      <c r="C55" s="6" t="s">
        <v>459</v>
      </c>
      <c r="D55" s="6" t="s">
        <v>509</v>
      </c>
      <c r="E55" s="15" t="s">
        <v>295</v>
      </c>
      <c r="F55" s="15">
        <v>0</v>
      </c>
      <c r="G55" s="6">
        <v>1</v>
      </c>
      <c r="H55" s="6">
        <v>3</v>
      </c>
      <c r="I55" s="6">
        <v>2</v>
      </c>
      <c r="J55" s="6" t="s">
        <v>368</v>
      </c>
      <c r="K55" s="6">
        <v>1</v>
      </c>
      <c r="L55" s="6">
        <v>2</v>
      </c>
      <c r="M55" s="21">
        <v>512</v>
      </c>
      <c r="N55" s="6">
        <v>0</v>
      </c>
      <c r="O55" s="6">
        <v>0</v>
      </c>
      <c r="P55" s="6">
        <v>0</v>
      </c>
      <c r="Q55" s="6">
        <v>0</v>
      </c>
      <c r="R55" s="22">
        <v>0</v>
      </c>
      <c r="S55" s="22">
        <v>0</v>
      </c>
      <c r="T55" s="24">
        <v>0</v>
      </c>
      <c r="U55" s="24">
        <v>0</v>
      </c>
    </row>
    <row r="56" spans="1:21" x14ac:dyDescent="0.3">
      <c r="A56" s="6">
        <v>221</v>
      </c>
      <c r="B56" s="6" t="s">
        <v>369</v>
      </c>
      <c r="C56" s="6" t="s">
        <v>460</v>
      </c>
      <c r="D56" s="6" t="s">
        <v>510</v>
      </c>
      <c r="E56" s="15" t="s">
        <v>296</v>
      </c>
      <c r="F56" s="15">
        <v>0</v>
      </c>
      <c r="G56" s="6">
        <v>2</v>
      </c>
      <c r="H56" s="6">
        <v>3</v>
      </c>
      <c r="I56" s="6">
        <v>1</v>
      </c>
      <c r="J56" s="6" t="s">
        <v>447</v>
      </c>
      <c r="K56" s="6">
        <v>3</v>
      </c>
      <c r="L56" s="6">
        <v>2</v>
      </c>
      <c r="M56" s="21">
        <v>128</v>
      </c>
      <c r="N56" s="6">
        <v>0</v>
      </c>
      <c r="O56" s="6">
        <v>0</v>
      </c>
      <c r="P56" s="6">
        <v>0</v>
      </c>
      <c r="Q56" s="6">
        <v>0</v>
      </c>
      <c r="R56" s="22">
        <v>0</v>
      </c>
      <c r="S56" s="22">
        <v>0</v>
      </c>
      <c r="T56" s="24">
        <v>0</v>
      </c>
      <c r="U56" s="24">
        <v>0</v>
      </c>
    </row>
    <row r="57" spans="1:21" x14ac:dyDescent="0.3">
      <c r="A57" s="6">
        <v>222</v>
      </c>
      <c r="B57" s="6" t="s">
        <v>447</v>
      </c>
      <c r="C57" s="6" t="s">
        <v>461</v>
      </c>
      <c r="D57" s="6" t="s">
        <v>511</v>
      </c>
      <c r="E57" s="15" t="s">
        <v>297</v>
      </c>
      <c r="F57" s="15">
        <v>0</v>
      </c>
      <c r="G57" s="6">
        <v>2</v>
      </c>
      <c r="H57" s="6">
        <v>3</v>
      </c>
      <c r="I57" s="6">
        <v>2</v>
      </c>
      <c r="J57" s="6" t="s">
        <v>369</v>
      </c>
      <c r="K57" s="6">
        <v>3</v>
      </c>
      <c r="L57" s="6">
        <v>2</v>
      </c>
      <c r="M57" s="21">
        <v>128</v>
      </c>
      <c r="N57" s="6">
        <v>0</v>
      </c>
      <c r="O57" s="6">
        <v>0</v>
      </c>
      <c r="P57" s="6">
        <v>0</v>
      </c>
      <c r="Q57" s="6">
        <v>0</v>
      </c>
      <c r="R57" s="22">
        <v>0</v>
      </c>
      <c r="S57" s="22">
        <v>0</v>
      </c>
      <c r="T57" s="24">
        <v>0</v>
      </c>
      <c r="U57" s="24">
        <v>0</v>
      </c>
    </row>
    <row r="58" spans="1:21" x14ac:dyDescent="0.3">
      <c r="A58" s="6">
        <v>223</v>
      </c>
      <c r="B58" s="6" t="s">
        <v>371</v>
      </c>
      <c r="C58" s="6" t="s">
        <v>462</v>
      </c>
      <c r="D58" s="6" t="s">
        <v>512</v>
      </c>
      <c r="E58" s="15" t="s">
        <v>298</v>
      </c>
      <c r="F58" s="15">
        <v>0</v>
      </c>
      <c r="G58" s="6">
        <v>1</v>
      </c>
      <c r="H58" s="6">
        <v>3</v>
      </c>
      <c r="I58" s="6">
        <v>1</v>
      </c>
      <c r="J58" s="6" t="s">
        <v>445</v>
      </c>
      <c r="K58" s="6">
        <v>1</v>
      </c>
      <c r="L58" s="6">
        <v>2</v>
      </c>
      <c r="M58" s="21">
        <v>772</v>
      </c>
      <c r="N58" s="6">
        <v>1</v>
      </c>
      <c r="O58" s="6">
        <v>0</v>
      </c>
      <c r="P58" s="6">
        <v>0</v>
      </c>
      <c r="Q58" s="6">
        <v>0</v>
      </c>
      <c r="R58" s="22">
        <v>0</v>
      </c>
      <c r="S58" s="22">
        <v>0</v>
      </c>
      <c r="T58" s="24">
        <v>0</v>
      </c>
      <c r="U58" s="24">
        <v>0</v>
      </c>
    </row>
    <row r="59" spans="1:21" x14ac:dyDescent="0.3">
      <c r="A59" s="6">
        <v>224</v>
      </c>
      <c r="B59" s="6" t="s">
        <v>446</v>
      </c>
      <c r="C59" s="6" t="s">
        <v>463</v>
      </c>
      <c r="D59" s="6" t="s">
        <v>513</v>
      </c>
      <c r="E59" s="15" t="s">
        <v>299</v>
      </c>
      <c r="F59" s="15">
        <v>0</v>
      </c>
      <c r="G59" s="6">
        <v>1</v>
      </c>
      <c r="H59" s="6">
        <v>3</v>
      </c>
      <c r="I59" s="6">
        <v>2</v>
      </c>
      <c r="J59" s="6" t="s">
        <v>370</v>
      </c>
      <c r="K59" s="6">
        <v>1</v>
      </c>
      <c r="L59" s="6">
        <v>2</v>
      </c>
      <c r="M59" s="21">
        <v>772</v>
      </c>
      <c r="N59" s="6">
        <v>1</v>
      </c>
      <c r="O59" s="6">
        <v>0</v>
      </c>
      <c r="P59" s="6">
        <v>0</v>
      </c>
      <c r="Q59" s="6">
        <v>0</v>
      </c>
      <c r="R59" s="22">
        <v>0</v>
      </c>
      <c r="S59" s="22">
        <v>0</v>
      </c>
      <c r="T59" s="24">
        <v>0</v>
      </c>
      <c r="U59" s="24">
        <v>0</v>
      </c>
    </row>
    <row r="60" spans="1:21" x14ac:dyDescent="0.3">
      <c r="A60" s="6">
        <v>225</v>
      </c>
      <c r="B60" s="6" t="s">
        <v>373</v>
      </c>
      <c r="C60" s="6" t="s">
        <v>464</v>
      </c>
      <c r="D60" s="6" t="s">
        <v>514</v>
      </c>
      <c r="E60" s="15" t="s">
        <v>300</v>
      </c>
      <c r="F60" s="15">
        <v>0</v>
      </c>
      <c r="G60" s="6">
        <v>1</v>
      </c>
      <c r="H60" s="6">
        <v>3</v>
      </c>
      <c r="I60" s="6">
        <v>1</v>
      </c>
      <c r="J60" s="6" t="s">
        <v>443</v>
      </c>
      <c r="K60" s="6">
        <v>2</v>
      </c>
      <c r="L60" s="6">
        <v>2</v>
      </c>
      <c r="M60" s="21">
        <v>772</v>
      </c>
      <c r="N60" s="6">
        <v>3</v>
      </c>
      <c r="O60" s="6">
        <v>0</v>
      </c>
      <c r="P60" s="6">
        <v>0</v>
      </c>
      <c r="Q60" s="6">
        <v>0</v>
      </c>
      <c r="R60" s="22">
        <v>0</v>
      </c>
      <c r="S60" s="22">
        <v>0</v>
      </c>
      <c r="T60" s="24">
        <v>0</v>
      </c>
      <c r="U60" s="24">
        <v>0</v>
      </c>
    </row>
    <row r="61" spans="1:21" x14ac:dyDescent="0.3">
      <c r="A61" s="6">
        <v>226</v>
      </c>
      <c r="B61" s="6" t="s">
        <v>444</v>
      </c>
      <c r="C61" s="6" t="s">
        <v>465</v>
      </c>
      <c r="D61" s="6" t="s">
        <v>515</v>
      </c>
      <c r="E61" s="15" t="s">
        <v>301</v>
      </c>
      <c r="F61" s="15">
        <v>0</v>
      </c>
      <c r="G61" s="6">
        <v>1</v>
      </c>
      <c r="H61" s="6">
        <v>3</v>
      </c>
      <c r="I61" s="6">
        <v>2</v>
      </c>
      <c r="J61" s="6" t="s">
        <v>372</v>
      </c>
      <c r="K61" s="6">
        <v>2</v>
      </c>
      <c r="L61" s="6">
        <v>2</v>
      </c>
      <c r="M61" s="21">
        <v>772</v>
      </c>
      <c r="N61" s="6">
        <v>2</v>
      </c>
      <c r="O61" s="6">
        <v>0</v>
      </c>
      <c r="P61" s="6">
        <v>0</v>
      </c>
      <c r="Q61" s="6">
        <v>0</v>
      </c>
      <c r="R61" s="22">
        <v>0</v>
      </c>
      <c r="S61" s="22">
        <v>0</v>
      </c>
      <c r="T61" s="24">
        <v>0</v>
      </c>
      <c r="U61" s="24">
        <v>0</v>
      </c>
    </row>
    <row r="62" spans="1:21" x14ac:dyDescent="0.3">
      <c r="A62" s="6">
        <v>227</v>
      </c>
      <c r="B62" s="6" t="s">
        <v>375</v>
      </c>
      <c r="C62" s="6" t="s">
        <v>466</v>
      </c>
      <c r="D62" s="6" t="s">
        <v>516</v>
      </c>
      <c r="E62" s="15" t="s">
        <v>302</v>
      </c>
      <c r="F62" s="15">
        <v>0</v>
      </c>
      <c r="G62" s="6">
        <v>1</v>
      </c>
      <c r="H62" s="6">
        <v>3</v>
      </c>
      <c r="I62" s="6">
        <v>1</v>
      </c>
      <c r="J62" s="6" t="s">
        <v>441</v>
      </c>
      <c r="K62" s="6">
        <v>2</v>
      </c>
      <c r="L62" s="6">
        <v>2</v>
      </c>
      <c r="M62" s="21">
        <v>772</v>
      </c>
      <c r="N62" s="6">
        <v>0</v>
      </c>
      <c r="O62" s="6">
        <v>0</v>
      </c>
      <c r="P62" s="6">
        <v>0</v>
      </c>
      <c r="Q62" s="6">
        <v>0</v>
      </c>
      <c r="R62" s="22">
        <v>0</v>
      </c>
      <c r="S62" s="22">
        <v>0</v>
      </c>
      <c r="T62" s="24">
        <v>0</v>
      </c>
      <c r="U62" s="24">
        <v>0</v>
      </c>
    </row>
    <row r="63" spans="1:21" x14ac:dyDescent="0.3">
      <c r="A63" s="6">
        <v>228</v>
      </c>
      <c r="B63" s="6" t="s">
        <v>442</v>
      </c>
      <c r="C63" s="6" t="s">
        <v>467</v>
      </c>
      <c r="D63" s="6" t="s">
        <v>517</v>
      </c>
      <c r="E63" s="15" t="s">
        <v>303</v>
      </c>
      <c r="F63" s="15">
        <v>0</v>
      </c>
      <c r="G63" s="6">
        <v>1</v>
      </c>
      <c r="H63" s="6">
        <v>3</v>
      </c>
      <c r="I63" s="6">
        <v>2</v>
      </c>
      <c r="J63" s="6" t="s">
        <v>374</v>
      </c>
      <c r="K63" s="6">
        <v>2</v>
      </c>
      <c r="L63" s="6">
        <v>2</v>
      </c>
      <c r="M63" s="21">
        <v>772</v>
      </c>
      <c r="N63" s="6">
        <v>0</v>
      </c>
      <c r="O63" s="6">
        <v>0</v>
      </c>
      <c r="P63" s="6">
        <v>0</v>
      </c>
      <c r="Q63" s="6">
        <v>0</v>
      </c>
      <c r="R63" s="22">
        <v>0</v>
      </c>
      <c r="S63" s="22">
        <v>0</v>
      </c>
      <c r="T63" s="24">
        <v>0</v>
      </c>
      <c r="U63" s="24">
        <v>0</v>
      </c>
    </row>
    <row r="64" spans="1:21" x14ac:dyDescent="0.3">
      <c r="A64" s="6">
        <v>229</v>
      </c>
      <c r="B64" s="6" t="s">
        <v>377</v>
      </c>
      <c r="C64" s="6" t="s">
        <v>468</v>
      </c>
      <c r="D64" s="6" t="s">
        <v>518</v>
      </c>
      <c r="E64" s="15" t="s">
        <v>304</v>
      </c>
      <c r="F64" s="15">
        <v>0</v>
      </c>
      <c r="G64" s="6">
        <v>1</v>
      </c>
      <c r="H64" s="6">
        <v>3</v>
      </c>
      <c r="I64" s="6">
        <v>1</v>
      </c>
      <c r="J64" s="6" t="s">
        <v>439</v>
      </c>
      <c r="K64" s="6">
        <v>2</v>
      </c>
      <c r="L64" s="6">
        <v>2</v>
      </c>
      <c r="M64" s="21">
        <v>772</v>
      </c>
      <c r="N64" s="6">
        <v>4</v>
      </c>
      <c r="O64" s="6">
        <v>0</v>
      </c>
      <c r="P64" s="6">
        <v>0</v>
      </c>
      <c r="Q64" s="6">
        <v>0</v>
      </c>
      <c r="R64" s="22">
        <v>0</v>
      </c>
      <c r="S64" s="22">
        <v>0</v>
      </c>
      <c r="T64" s="24">
        <v>0</v>
      </c>
      <c r="U64" s="24">
        <v>0</v>
      </c>
    </row>
    <row r="65" spans="1:21" x14ac:dyDescent="0.3">
      <c r="A65" s="6">
        <v>230</v>
      </c>
      <c r="B65" s="6" t="s">
        <v>440</v>
      </c>
      <c r="C65" s="6" t="s">
        <v>469</v>
      </c>
      <c r="D65" s="6" t="s">
        <v>519</v>
      </c>
      <c r="E65" s="15" t="s">
        <v>305</v>
      </c>
      <c r="F65" s="15">
        <v>0</v>
      </c>
      <c r="G65" s="6">
        <v>1</v>
      </c>
      <c r="H65" s="6">
        <v>3</v>
      </c>
      <c r="I65" s="6">
        <v>2</v>
      </c>
      <c r="J65" s="6" t="s">
        <v>376</v>
      </c>
      <c r="K65" s="6">
        <v>2</v>
      </c>
      <c r="L65" s="6">
        <v>2</v>
      </c>
      <c r="M65" s="21">
        <v>772</v>
      </c>
      <c r="N65" s="6">
        <v>4</v>
      </c>
      <c r="O65" s="6">
        <v>0</v>
      </c>
      <c r="P65" s="6">
        <v>0</v>
      </c>
      <c r="Q65" s="6">
        <v>0</v>
      </c>
      <c r="R65" s="22">
        <v>0</v>
      </c>
      <c r="S65" s="22">
        <v>0</v>
      </c>
      <c r="T65" s="24">
        <v>0</v>
      </c>
      <c r="U65" s="24">
        <v>0</v>
      </c>
    </row>
    <row r="66" spans="1:21" x14ac:dyDescent="0.3">
      <c r="A66" s="6">
        <v>231</v>
      </c>
      <c r="B66" s="6" t="s">
        <v>379</v>
      </c>
      <c r="C66" s="6" t="s">
        <v>470</v>
      </c>
      <c r="D66" s="6" t="s">
        <v>520</v>
      </c>
      <c r="E66" s="15" t="s">
        <v>306</v>
      </c>
      <c r="F66" s="15">
        <v>0</v>
      </c>
      <c r="G66" s="6">
        <v>1</v>
      </c>
      <c r="H66" s="6">
        <v>3</v>
      </c>
      <c r="I66" s="6">
        <v>1</v>
      </c>
      <c r="J66" s="6" t="s">
        <v>437</v>
      </c>
      <c r="K66" s="6">
        <v>3</v>
      </c>
      <c r="L66" s="6">
        <v>2</v>
      </c>
      <c r="M66" s="21">
        <v>772</v>
      </c>
      <c r="N66" s="6">
        <v>2</v>
      </c>
      <c r="O66" s="6">
        <v>0</v>
      </c>
      <c r="P66" s="6">
        <v>0</v>
      </c>
      <c r="Q66" s="6">
        <v>0</v>
      </c>
      <c r="R66" s="22">
        <v>0</v>
      </c>
      <c r="S66" s="22">
        <v>0</v>
      </c>
      <c r="T66" s="24">
        <v>0</v>
      </c>
      <c r="U66" s="24">
        <v>0</v>
      </c>
    </row>
    <row r="67" spans="1:21" x14ac:dyDescent="0.3">
      <c r="A67" s="6">
        <v>232</v>
      </c>
      <c r="B67" s="6" t="s">
        <v>438</v>
      </c>
      <c r="C67" s="6" t="s">
        <v>471</v>
      </c>
      <c r="D67" s="6" t="s">
        <v>521</v>
      </c>
      <c r="E67" s="15" t="s">
        <v>307</v>
      </c>
      <c r="F67" s="15">
        <v>0</v>
      </c>
      <c r="G67" s="6">
        <v>1</v>
      </c>
      <c r="H67" s="6">
        <v>3</v>
      </c>
      <c r="I67" s="6">
        <v>2</v>
      </c>
      <c r="J67" s="6" t="s">
        <v>378</v>
      </c>
      <c r="K67" s="6">
        <v>3</v>
      </c>
      <c r="L67" s="6">
        <v>2</v>
      </c>
      <c r="M67" s="21">
        <v>772</v>
      </c>
      <c r="N67" s="6">
        <v>2</v>
      </c>
      <c r="O67" s="6">
        <v>0</v>
      </c>
      <c r="P67" s="6">
        <v>0</v>
      </c>
      <c r="Q67" s="6">
        <v>0</v>
      </c>
      <c r="R67" s="22">
        <v>0</v>
      </c>
      <c r="S67" s="22">
        <v>0</v>
      </c>
      <c r="T67" s="24">
        <v>0</v>
      </c>
      <c r="U67" s="24">
        <v>0</v>
      </c>
    </row>
    <row r="68" spans="1:21" x14ac:dyDescent="0.3">
      <c r="A68" s="6">
        <v>233</v>
      </c>
      <c r="B68" s="6" t="s">
        <v>381</v>
      </c>
      <c r="C68" s="6" t="s">
        <v>472</v>
      </c>
      <c r="D68" s="6" t="s">
        <v>522</v>
      </c>
      <c r="E68" s="15" t="s">
        <v>308</v>
      </c>
      <c r="F68" s="15">
        <v>0</v>
      </c>
      <c r="G68" s="6">
        <v>1</v>
      </c>
      <c r="H68" s="6">
        <v>3</v>
      </c>
      <c r="I68" s="6">
        <v>1</v>
      </c>
      <c r="J68" s="6" t="s">
        <v>435</v>
      </c>
      <c r="K68" s="6">
        <v>3</v>
      </c>
      <c r="L68" s="6">
        <v>2</v>
      </c>
      <c r="M68" s="21">
        <v>772</v>
      </c>
      <c r="N68" s="6">
        <v>5</v>
      </c>
      <c r="O68" s="6">
        <v>0</v>
      </c>
      <c r="P68" s="6">
        <v>0</v>
      </c>
      <c r="Q68" s="6">
        <v>0</v>
      </c>
      <c r="R68" s="22">
        <v>0</v>
      </c>
      <c r="S68" s="22">
        <v>0</v>
      </c>
      <c r="T68" s="24">
        <v>0</v>
      </c>
      <c r="U68" s="24">
        <v>0</v>
      </c>
    </row>
    <row r="69" spans="1:21" x14ac:dyDescent="0.3">
      <c r="A69" s="6">
        <v>234</v>
      </c>
      <c r="B69" s="6" t="s">
        <v>436</v>
      </c>
      <c r="C69" s="6" t="s">
        <v>473</v>
      </c>
      <c r="D69" s="6" t="s">
        <v>523</v>
      </c>
      <c r="E69" s="15" t="s">
        <v>309</v>
      </c>
      <c r="F69" s="15">
        <v>0</v>
      </c>
      <c r="G69" s="6">
        <v>1</v>
      </c>
      <c r="H69" s="6">
        <v>3</v>
      </c>
      <c r="I69" s="6">
        <v>2</v>
      </c>
      <c r="J69" s="6" t="s">
        <v>380</v>
      </c>
      <c r="K69" s="6">
        <v>3</v>
      </c>
      <c r="L69" s="6">
        <v>2</v>
      </c>
      <c r="M69" s="21">
        <v>772</v>
      </c>
      <c r="N69" s="6">
        <v>5</v>
      </c>
      <c r="O69" s="6">
        <v>0</v>
      </c>
      <c r="P69" s="6">
        <v>0</v>
      </c>
      <c r="Q69" s="6">
        <v>0</v>
      </c>
      <c r="R69" s="22">
        <v>0</v>
      </c>
      <c r="S69" s="22">
        <v>0</v>
      </c>
      <c r="T69" s="24">
        <v>0</v>
      </c>
      <c r="U69" s="24">
        <v>0</v>
      </c>
    </row>
    <row r="70" spans="1:21" x14ac:dyDescent="0.3">
      <c r="A70" s="6">
        <v>235</v>
      </c>
      <c r="B70" s="6" t="s">
        <v>383</v>
      </c>
      <c r="C70" s="6" t="s">
        <v>474</v>
      </c>
      <c r="D70" s="6" t="s">
        <v>524</v>
      </c>
      <c r="E70" s="15" t="s">
        <v>310</v>
      </c>
      <c r="F70" s="15">
        <v>0</v>
      </c>
      <c r="G70" s="6">
        <v>1</v>
      </c>
      <c r="H70" s="6">
        <v>3</v>
      </c>
      <c r="I70" s="6">
        <v>1</v>
      </c>
      <c r="J70" s="6" t="s">
        <v>433</v>
      </c>
      <c r="K70" s="6">
        <v>1</v>
      </c>
      <c r="L70" s="6">
        <v>2</v>
      </c>
      <c r="M70" s="21">
        <v>776</v>
      </c>
      <c r="N70" s="6">
        <v>1</v>
      </c>
      <c r="O70" s="6">
        <v>0</v>
      </c>
      <c r="P70" s="6">
        <v>0</v>
      </c>
      <c r="Q70" s="6">
        <v>0</v>
      </c>
      <c r="R70" s="22">
        <v>0</v>
      </c>
      <c r="S70" s="22">
        <v>0</v>
      </c>
      <c r="T70" s="24">
        <v>0</v>
      </c>
      <c r="U70" s="24">
        <v>0</v>
      </c>
    </row>
    <row r="71" spans="1:21" x14ac:dyDescent="0.3">
      <c r="A71" s="6">
        <v>236</v>
      </c>
      <c r="B71" s="6" t="s">
        <v>434</v>
      </c>
      <c r="C71" s="6" t="s">
        <v>475</v>
      </c>
      <c r="D71" s="6" t="s">
        <v>525</v>
      </c>
      <c r="E71" s="15" t="s">
        <v>311</v>
      </c>
      <c r="F71" s="15">
        <v>0</v>
      </c>
      <c r="G71" s="6">
        <v>1</v>
      </c>
      <c r="H71" s="6">
        <v>3</v>
      </c>
      <c r="I71" s="6">
        <v>2</v>
      </c>
      <c r="J71" s="6" t="s">
        <v>382</v>
      </c>
      <c r="K71" s="6">
        <v>1</v>
      </c>
      <c r="L71" s="6">
        <v>2</v>
      </c>
      <c r="M71" s="21">
        <v>776</v>
      </c>
      <c r="N71" s="6">
        <v>1</v>
      </c>
      <c r="O71" s="6">
        <v>0</v>
      </c>
      <c r="P71" s="6">
        <v>0</v>
      </c>
      <c r="Q71" s="6">
        <v>0</v>
      </c>
      <c r="R71" s="22">
        <v>0</v>
      </c>
      <c r="S71" s="22">
        <v>0</v>
      </c>
      <c r="T71" s="24">
        <v>0</v>
      </c>
      <c r="U71" s="24">
        <v>0</v>
      </c>
    </row>
    <row r="72" spans="1:21" x14ac:dyDescent="0.3">
      <c r="A72" s="6">
        <v>237</v>
      </c>
      <c r="B72" s="6" t="s">
        <v>385</v>
      </c>
      <c r="C72" s="6" t="s">
        <v>476</v>
      </c>
      <c r="D72" s="6" t="s">
        <v>526</v>
      </c>
      <c r="E72" s="15" t="s">
        <v>312</v>
      </c>
      <c r="F72" s="15">
        <v>0</v>
      </c>
      <c r="G72" s="6">
        <v>1</v>
      </c>
      <c r="H72" s="6">
        <v>3</v>
      </c>
      <c r="I72" s="6">
        <v>1</v>
      </c>
      <c r="J72" s="6" t="s">
        <v>431</v>
      </c>
      <c r="K72" s="6">
        <v>2</v>
      </c>
      <c r="L72" s="6">
        <v>2</v>
      </c>
      <c r="M72" s="21">
        <v>776</v>
      </c>
      <c r="N72" s="6">
        <v>3</v>
      </c>
      <c r="O72" s="6">
        <v>0</v>
      </c>
      <c r="P72" s="6">
        <v>0</v>
      </c>
      <c r="Q72" s="6">
        <v>0</v>
      </c>
      <c r="R72" s="22">
        <v>0</v>
      </c>
      <c r="S72" s="22">
        <v>0</v>
      </c>
      <c r="T72" s="24">
        <v>0</v>
      </c>
      <c r="U72" s="24">
        <v>0</v>
      </c>
    </row>
    <row r="73" spans="1:21" x14ac:dyDescent="0.3">
      <c r="A73" s="6">
        <v>238</v>
      </c>
      <c r="B73" s="6" t="s">
        <v>432</v>
      </c>
      <c r="C73" s="6" t="s">
        <v>477</v>
      </c>
      <c r="D73" s="6" t="s">
        <v>527</v>
      </c>
      <c r="E73" s="15" t="s">
        <v>313</v>
      </c>
      <c r="F73" s="15">
        <v>0</v>
      </c>
      <c r="G73" s="6">
        <v>1</v>
      </c>
      <c r="H73" s="6">
        <v>3</v>
      </c>
      <c r="I73" s="6">
        <v>2</v>
      </c>
      <c r="J73" s="6" t="s">
        <v>384</v>
      </c>
      <c r="K73" s="6">
        <v>2</v>
      </c>
      <c r="L73" s="6">
        <v>2</v>
      </c>
      <c r="M73" s="21">
        <v>776</v>
      </c>
      <c r="N73" s="6">
        <v>2</v>
      </c>
      <c r="O73" s="6">
        <v>0</v>
      </c>
      <c r="P73" s="6">
        <v>0</v>
      </c>
      <c r="Q73" s="6">
        <v>0</v>
      </c>
      <c r="R73" s="22">
        <v>0</v>
      </c>
      <c r="S73" s="22">
        <v>0</v>
      </c>
      <c r="T73" s="24">
        <v>0</v>
      </c>
      <c r="U73" s="24">
        <v>0</v>
      </c>
    </row>
    <row r="74" spans="1:21" x14ac:dyDescent="0.3">
      <c r="A74" s="6">
        <v>239</v>
      </c>
      <c r="B74" s="6" t="s">
        <v>387</v>
      </c>
      <c r="C74" s="6" t="s">
        <v>478</v>
      </c>
      <c r="D74" s="6" t="s">
        <v>528</v>
      </c>
      <c r="E74" s="15" t="s">
        <v>314</v>
      </c>
      <c r="F74" s="15">
        <v>0</v>
      </c>
      <c r="G74" s="6">
        <v>1</v>
      </c>
      <c r="H74" s="6">
        <v>3</v>
      </c>
      <c r="I74" s="6">
        <v>1</v>
      </c>
      <c r="J74" s="6" t="s">
        <v>429</v>
      </c>
      <c r="K74" s="6">
        <v>3</v>
      </c>
      <c r="L74" s="6">
        <v>2</v>
      </c>
      <c r="M74" s="21">
        <v>776</v>
      </c>
      <c r="N74" s="6">
        <v>2</v>
      </c>
      <c r="O74" s="6">
        <v>0</v>
      </c>
      <c r="P74" s="6">
        <v>0</v>
      </c>
      <c r="Q74" s="6">
        <v>0</v>
      </c>
      <c r="R74" s="22">
        <v>0</v>
      </c>
      <c r="S74" s="22">
        <v>0</v>
      </c>
      <c r="T74" s="24">
        <v>0</v>
      </c>
      <c r="U74" s="24">
        <v>0</v>
      </c>
    </row>
    <row r="75" spans="1:21" x14ac:dyDescent="0.3">
      <c r="A75" s="6">
        <v>240</v>
      </c>
      <c r="B75" s="6" t="s">
        <v>430</v>
      </c>
      <c r="C75" s="6" t="s">
        <v>479</v>
      </c>
      <c r="D75" s="6" t="s">
        <v>529</v>
      </c>
      <c r="E75" s="15" t="s">
        <v>315</v>
      </c>
      <c r="F75" s="15">
        <v>0</v>
      </c>
      <c r="G75" s="6">
        <v>1</v>
      </c>
      <c r="H75" s="6">
        <v>3</v>
      </c>
      <c r="I75" s="6">
        <v>2</v>
      </c>
      <c r="J75" s="6" t="s">
        <v>386</v>
      </c>
      <c r="K75" s="6">
        <v>3</v>
      </c>
      <c r="L75" s="6">
        <v>2</v>
      </c>
      <c r="M75" s="21">
        <v>776</v>
      </c>
      <c r="N75" s="6">
        <v>2</v>
      </c>
      <c r="O75" s="6">
        <v>0</v>
      </c>
      <c r="P75" s="6">
        <v>0</v>
      </c>
      <c r="Q75" s="6">
        <v>0</v>
      </c>
      <c r="R75" s="22">
        <v>0</v>
      </c>
      <c r="S75" s="22">
        <v>0</v>
      </c>
      <c r="T75" s="24">
        <v>0</v>
      </c>
      <c r="U75" s="24">
        <v>0</v>
      </c>
    </row>
    <row r="76" spans="1:21" x14ac:dyDescent="0.3">
      <c r="A76" s="6">
        <v>241</v>
      </c>
      <c r="B76" s="6" t="s">
        <v>389</v>
      </c>
      <c r="C76" s="6" t="s">
        <v>480</v>
      </c>
      <c r="D76" s="6" t="s">
        <v>530</v>
      </c>
      <c r="E76" s="15" t="s">
        <v>316</v>
      </c>
      <c r="F76" s="15">
        <v>0</v>
      </c>
      <c r="G76" s="6">
        <v>1</v>
      </c>
      <c r="H76" s="6">
        <v>3</v>
      </c>
      <c r="I76" s="6">
        <v>1</v>
      </c>
      <c r="J76" s="6" t="s">
        <v>427</v>
      </c>
      <c r="K76" s="6">
        <v>1</v>
      </c>
      <c r="L76" s="6">
        <v>2</v>
      </c>
      <c r="M76" s="21">
        <v>776</v>
      </c>
      <c r="N76" s="6">
        <v>3</v>
      </c>
      <c r="O76" s="6">
        <v>0</v>
      </c>
      <c r="P76" s="6">
        <v>0</v>
      </c>
      <c r="Q76" s="6">
        <v>0</v>
      </c>
      <c r="R76" s="22">
        <v>0</v>
      </c>
      <c r="S76" s="22">
        <v>0</v>
      </c>
      <c r="T76" s="24">
        <v>0</v>
      </c>
      <c r="U76" s="24">
        <v>0</v>
      </c>
    </row>
    <row r="77" spans="1:21" x14ac:dyDescent="0.3">
      <c r="A77" s="6">
        <v>242</v>
      </c>
      <c r="B77" s="6" t="s">
        <v>428</v>
      </c>
      <c r="C77" s="6" t="s">
        <v>481</v>
      </c>
      <c r="D77" s="6" t="s">
        <v>531</v>
      </c>
      <c r="E77" s="15" t="s">
        <v>317</v>
      </c>
      <c r="F77" s="15">
        <v>0</v>
      </c>
      <c r="G77" s="6">
        <v>1</v>
      </c>
      <c r="H77" s="6">
        <v>3</v>
      </c>
      <c r="I77" s="6">
        <v>2</v>
      </c>
      <c r="J77" s="6" t="s">
        <v>388</v>
      </c>
      <c r="K77" s="6">
        <v>1</v>
      </c>
      <c r="L77" s="6">
        <v>2</v>
      </c>
      <c r="M77" s="21">
        <v>776</v>
      </c>
      <c r="N77" s="6">
        <v>3</v>
      </c>
      <c r="O77" s="6">
        <v>0</v>
      </c>
      <c r="P77" s="6">
        <v>0</v>
      </c>
      <c r="Q77" s="6">
        <v>0</v>
      </c>
      <c r="R77" s="22">
        <v>0</v>
      </c>
      <c r="S77" s="22">
        <v>0</v>
      </c>
      <c r="T77" s="24">
        <v>0</v>
      </c>
      <c r="U77" s="24">
        <v>0</v>
      </c>
    </row>
    <row r="78" spans="1:21" x14ac:dyDescent="0.3">
      <c r="A78" s="6">
        <v>243</v>
      </c>
      <c r="B78" s="6" t="s">
        <v>391</v>
      </c>
      <c r="C78" s="6" t="s">
        <v>482</v>
      </c>
      <c r="D78" s="6" t="s">
        <v>532</v>
      </c>
      <c r="E78" s="15" t="s">
        <v>318</v>
      </c>
      <c r="F78" s="15">
        <v>0</v>
      </c>
      <c r="G78" s="6">
        <v>1</v>
      </c>
      <c r="H78" s="6">
        <v>3</v>
      </c>
      <c r="I78" s="6">
        <v>1</v>
      </c>
      <c r="J78" s="6" t="s">
        <v>425</v>
      </c>
      <c r="K78" s="6">
        <v>1</v>
      </c>
      <c r="L78" s="6">
        <v>2</v>
      </c>
      <c r="M78" s="21">
        <v>776</v>
      </c>
      <c r="N78" s="6">
        <v>3</v>
      </c>
      <c r="O78" s="6">
        <v>0</v>
      </c>
      <c r="P78" s="6">
        <v>0</v>
      </c>
      <c r="Q78" s="6">
        <v>0</v>
      </c>
      <c r="R78" s="22">
        <v>0</v>
      </c>
      <c r="S78" s="22">
        <v>0</v>
      </c>
      <c r="T78" s="24">
        <v>0</v>
      </c>
      <c r="U78" s="24">
        <v>0</v>
      </c>
    </row>
    <row r="79" spans="1:21" x14ac:dyDescent="0.3">
      <c r="A79" s="6">
        <v>244</v>
      </c>
      <c r="B79" s="6" t="s">
        <v>426</v>
      </c>
      <c r="C79" s="6" t="s">
        <v>483</v>
      </c>
      <c r="D79" s="6" t="s">
        <v>533</v>
      </c>
      <c r="E79" s="15" t="s">
        <v>319</v>
      </c>
      <c r="F79" s="15">
        <v>0</v>
      </c>
      <c r="G79" s="6">
        <v>1</v>
      </c>
      <c r="H79" s="6">
        <v>3</v>
      </c>
      <c r="I79" s="6">
        <v>2</v>
      </c>
      <c r="J79" s="6" t="s">
        <v>390</v>
      </c>
      <c r="K79" s="6">
        <v>1</v>
      </c>
      <c r="L79" s="6">
        <v>2</v>
      </c>
      <c r="M79" s="21">
        <v>776</v>
      </c>
      <c r="N79" s="6">
        <v>3</v>
      </c>
      <c r="O79" s="6">
        <v>0</v>
      </c>
      <c r="P79" s="6">
        <v>0</v>
      </c>
      <c r="Q79" s="6">
        <v>0</v>
      </c>
      <c r="R79" s="22">
        <v>0</v>
      </c>
      <c r="S79" s="22">
        <v>0</v>
      </c>
      <c r="T79" s="24">
        <v>0</v>
      </c>
      <c r="U79" s="24">
        <v>0</v>
      </c>
    </row>
    <row r="80" spans="1:21" x14ac:dyDescent="0.3">
      <c r="A80" s="6">
        <v>245</v>
      </c>
      <c r="B80" s="6" t="s">
        <v>393</v>
      </c>
      <c r="C80" s="6" t="s">
        <v>484</v>
      </c>
      <c r="D80" s="6" t="s">
        <v>534</v>
      </c>
      <c r="E80" s="15" t="s">
        <v>320</v>
      </c>
      <c r="F80" s="15">
        <v>0</v>
      </c>
      <c r="G80" s="6">
        <v>1</v>
      </c>
      <c r="H80" s="6">
        <v>3</v>
      </c>
      <c r="I80" s="6">
        <v>1</v>
      </c>
      <c r="J80" s="6" t="s">
        <v>423</v>
      </c>
      <c r="K80" s="6">
        <v>2</v>
      </c>
      <c r="L80" s="6">
        <v>2</v>
      </c>
      <c r="M80" s="21">
        <v>776</v>
      </c>
      <c r="N80" s="6">
        <v>2</v>
      </c>
      <c r="O80" s="6">
        <v>0</v>
      </c>
      <c r="P80" s="6">
        <v>0</v>
      </c>
      <c r="Q80" s="6">
        <v>0</v>
      </c>
      <c r="R80" s="22">
        <v>0</v>
      </c>
      <c r="S80" s="22">
        <v>0</v>
      </c>
      <c r="T80" s="24">
        <v>0</v>
      </c>
      <c r="U80" s="24">
        <v>0</v>
      </c>
    </row>
    <row r="81" spans="1:21" x14ac:dyDescent="0.3">
      <c r="A81" s="6">
        <v>246</v>
      </c>
      <c r="B81" s="6" t="s">
        <v>424</v>
      </c>
      <c r="C81" s="6" t="s">
        <v>485</v>
      </c>
      <c r="D81" s="6" t="s">
        <v>535</v>
      </c>
      <c r="E81" s="15" t="s">
        <v>321</v>
      </c>
      <c r="F81" s="15">
        <v>0</v>
      </c>
      <c r="G81" s="6">
        <v>1</v>
      </c>
      <c r="H81" s="6">
        <v>3</v>
      </c>
      <c r="I81" s="6">
        <v>2</v>
      </c>
      <c r="J81" s="6" t="s">
        <v>392</v>
      </c>
      <c r="K81" s="6">
        <v>2</v>
      </c>
      <c r="L81" s="6">
        <v>2</v>
      </c>
      <c r="M81" s="21">
        <v>776</v>
      </c>
      <c r="N81" s="6">
        <v>2</v>
      </c>
      <c r="O81" s="6">
        <v>0</v>
      </c>
      <c r="P81" s="6">
        <v>0</v>
      </c>
      <c r="Q81" s="6">
        <v>0</v>
      </c>
      <c r="R81" s="22">
        <v>0</v>
      </c>
      <c r="S81" s="22">
        <v>0</v>
      </c>
      <c r="T81" s="24">
        <v>0</v>
      </c>
      <c r="U81" s="24">
        <v>0</v>
      </c>
    </row>
    <row r="82" spans="1:21" x14ac:dyDescent="0.3">
      <c r="A82" s="6">
        <v>247</v>
      </c>
      <c r="B82" s="6" t="s">
        <v>397</v>
      </c>
      <c r="C82" s="6" t="s">
        <v>486</v>
      </c>
      <c r="D82" s="6" t="s">
        <v>536</v>
      </c>
      <c r="E82" s="15" t="s">
        <v>322</v>
      </c>
      <c r="F82" s="15">
        <v>0</v>
      </c>
      <c r="G82" s="6">
        <v>1</v>
      </c>
      <c r="H82" s="6">
        <v>3</v>
      </c>
      <c r="I82" s="6">
        <v>1</v>
      </c>
      <c r="J82" s="6" t="s">
        <v>421</v>
      </c>
      <c r="K82" s="6">
        <v>1</v>
      </c>
      <c r="L82" s="6">
        <v>2</v>
      </c>
      <c r="M82" s="21">
        <v>784</v>
      </c>
      <c r="N82" s="6">
        <v>2</v>
      </c>
      <c r="O82" s="6">
        <v>0</v>
      </c>
      <c r="P82" s="6">
        <v>0</v>
      </c>
      <c r="Q82" s="6">
        <v>0</v>
      </c>
      <c r="R82" s="22">
        <v>0</v>
      </c>
      <c r="S82" s="22">
        <v>0</v>
      </c>
      <c r="T82" s="24">
        <v>0</v>
      </c>
      <c r="U82" s="24">
        <v>0</v>
      </c>
    </row>
    <row r="83" spans="1:21" x14ac:dyDescent="0.3">
      <c r="A83" s="6">
        <v>248</v>
      </c>
      <c r="B83" s="6" t="s">
        <v>422</v>
      </c>
      <c r="C83" s="6" t="s">
        <v>487</v>
      </c>
      <c r="D83" s="6" t="s">
        <v>537</v>
      </c>
      <c r="E83" s="15" t="s">
        <v>323</v>
      </c>
      <c r="F83" s="15">
        <v>0</v>
      </c>
      <c r="G83" s="6">
        <v>1</v>
      </c>
      <c r="H83" s="6">
        <v>3</v>
      </c>
      <c r="I83" s="6">
        <v>2</v>
      </c>
      <c r="J83" s="6" t="s">
        <v>396</v>
      </c>
      <c r="K83" s="6">
        <v>1</v>
      </c>
      <c r="L83" s="6">
        <v>2</v>
      </c>
      <c r="M83" s="21">
        <v>784</v>
      </c>
      <c r="N83" s="6">
        <v>1</v>
      </c>
      <c r="O83" s="6">
        <v>0</v>
      </c>
      <c r="P83" s="6">
        <v>0</v>
      </c>
      <c r="Q83" s="6">
        <v>0</v>
      </c>
      <c r="R83" s="22">
        <v>0</v>
      </c>
      <c r="S83" s="22">
        <v>0</v>
      </c>
      <c r="T83" s="24">
        <v>0</v>
      </c>
      <c r="U83" s="24">
        <v>0</v>
      </c>
    </row>
    <row r="84" spans="1:21" x14ac:dyDescent="0.3">
      <c r="A84" s="6">
        <v>249</v>
      </c>
      <c r="B84" s="6" t="s">
        <v>395</v>
      </c>
      <c r="C84" s="6" t="s">
        <v>488</v>
      </c>
      <c r="D84" s="6" t="s">
        <v>538</v>
      </c>
      <c r="E84" s="15" t="s">
        <v>324</v>
      </c>
      <c r="F84" s="15">
        <v>0</v>
      </c>
      <c r="G84" s="6">
        <v>1</v>
      </c>
      <c r="H84" s="6">
        <v>3</v>
      </c>
      <c r="I84" s="6">
        <v>1</v>
      </c>
      <c r="J84" s="6" t="s">
        <v>419</v>
      </c>
      <c r="K84" s="6">
        <v>2</v>
      </c>
      <c r="L84" s="6">
        <v>2</v>
      </c>
      <c r="M84" s="21">
        <v>784</v>
      </c>
      <c r="N84" s="6">
        <v>3</v>
      </c>
      <c r="O84" s="6">
        <v>0</v>
      </c>
      <c r="P84" s="6">
        <v>0</v>
      </c>
      <c r="Q84" s="6">
        <v>0</v>
      </c>
      <c r="R84" s="22">
        <v>0</v>
      </c>
      <c r="S84" s="22">
        <v>0</v>
      </c>
      <c r="T84" s="24">
        <v>0</v>
      </c>
      <c r="U84" s="24">
        <v>0</v>
      </c>
    </row>
    <row r="85" spans="1:21" x14ac:dyDescent="0.3">
      <c r="A85" s="6">
        <v>250</v>
      </c>
      <c r="B85" s="6" t="s">
        <v>420</v>
      </c>
      <c r="C85" s="6" t="s">
        <v>489</v>
      </c>
      <c r="D85" s="6" t="s">
        <v>539</v>
      </c>
      <c r="E85" s="15" t="s">
        <v>325</v>
      </c>
      <c r="F85" s="15">
        <v>0</v>
      </c>
      <c r="G85" s="6">
        <v>1</v>
      </c>
      <c r="H85" s="6">
        <v>3</v>
      </c>
      <c r="I85" s="6">
        <v>2</v>
      </c>
      <c r="J85" s="6" t="s">
        <v>394</v>
      </c>
      <c r="K85" s="6">
        <v>2</v>
      </c>
      <c r="L85" s="6">
        <v>2</v>
      </c>
      <c r="M85" s="21">
        <v>784</v>
      </c>
      <c r="N85" s="6">
        <v>2</v>
      </c>
      <c r="O85" s="6">
        <v>0</v>
      </c>
      <c r="P85" s="6">
        <v>0</v>
      </c>
      <c r="Q85" s="6">
        <v>0</v>
      </c>
      <c r="R85" s="22">
        <v>0</v>
      </c>
      <c r="S85" s="22">
        <v>0</v>
      </c>
      <c r="T85" s="24">
        <v>0</v>
      </c>
      <c r="U85" s="24">
        <v>0</v>
      </c>
    </row>
    <row r="86" spans="1:21" x14ac:dyDescent="0.3">
      <c r="A86" s="6">
        <v>251</v>
      </c>
      <c r="B86" s="6" t="s">
        <v>399</v>
      </c>
      <c r="C86" s="6" t="s">
        <v>490</v>
      </c>
      <c r="D86" s="6" t="s">
        <v>540</v>
      </c>
      <c r="E86" s="15" t="s">
        <v>326</v>
      </c>
      <c r="F86" s="15">
        <v>0</v>
      </c>
      <c r="G86" s="6">
        <v>1</v>
      </c>
      <c r="H86" s="6">
        <v>3</v>
      </c>
      <c r="I86" s="6">
        <v>1</v>
      </c>
      <c r="J86" s="6" t="s">
        <v>417</v>
      </c>
      <c r="K86" s="6">
        <v>2</v>
      </c>
      <c r="L86" s="6">
        <v>2</v>
      </c>
      <c r="M86" s="21">
        <v>784</v>
      </c>
      <c r="N86" s="6">
        <v>1</v>
      </c>
      <c r="O86" s="6">
        <v>0</v>
      </c>
      <c r="P86" s="6">
        <v>0</v>
      </c>
      <c r="Q86" s="6">
        <v>0</v>
      </c>
      <c r="R86" s="22">
        <v>0</v>
      </c>
      <c r="S86" s="22">
        <v>0</v>
      </c>
      <c r="T86" s="24">
        <v>0</v>
      </c>
      <c r="U86" s="24">
        <v>0</v>
      </c>
    </row>
    <row r="87" spans="1:21" x14ac:dyDescent="0.3">
      <c r="A87" s="6">
        <v>252</v>
      </c>
      <c r="B87" s="6" t="s">
        <v>418</v>
      </c>
      <c r="C87" s="6" t="s">
        <v>491</v>
      </c>
      <c r="D87" s="6" t="s">
        <v>541</v>
      </c>
      <c r="E87" s="15" t="s">
        <v>327</v>
      </c>
      <c r="F87" s="15">
        <v>0</v>
      </c>
      <c r="G87" s="6">
        <v>1</v>
      </c>
      <c r="H87" s="6">
        <v>3</v>
      </c>
      <c r="I87" s="6">
        <v>2</v>
      </c>
      <c r="J87" s="6" t="s">
        <v>398</v>
      </c>
      <c r="K87" s="6">
        <v>2</v>
      </c>
      <c r="L87" s="6">
        <v>2</v>
      </c>
      <c r="M87" s="21">
        <v>784</v>
      </c>
      <c r="N87" s="6">
        <v>1</v>
      </c>
      <c r="O87" s="6">
        <v>0</v>
      </c>
      <c r="P87" s="6">
        <v>0</v>
      </c>
      <c r="Q87" s="6">
        <v>0</v>
      </c>
      <c r="R87" s="22">
        <v>0</v>
      </c>
      <c r="S87" s="22">
        <v>0</v>
      </c>
      <c r="T87" s="24">
        <v>0</v>
      </c>
      <c r="U87" s="24">
        <v>0</v>
      </c>
    </row>
    <row r="88" spans="1:21" x14ac:dyDescent="0.3">
      <c r="A88" s="6">
        <v>253</v>
      </c>
      <c r="B88" s="6" t="s">
        <v>401</v>
      </c>
      <c r="C88" s="6" t="s">
        <v>492</v>
      </c>
      <c r="D88" s="6" t="s">
        <v>542</v>
      </c>
      <c r="E88" s="15" t="s">
        <v>328</v>
      </c>
      <c r="F88" s="15">
        <v>0</v>
      </c>
      <c r="G88" s="6">
        <v>1</v>
      </c>
      <c r="H88" s="6">
        <v>3</v>
      </c>
      <c r="I88" s="6">
        <v>1</v>
      </c>
      <c r="J88" s="6" t="s">
        <v>415</v>
      </c>
      <c r="K88" s="6">
        <v>3</v>
      </c>
      <c r="L88" s="6">
        <v>2</v>
      </c>
      <c r="M88" s="21">
        <v>784</v>
      </c>
      <c r="N88" s="6">
        <v>4</v>
      </c>
      <c r="O88" s="6">
        <v>0</v>
      </c>
      <c r="P88" s="6">
        <v>0</v>
      </c>
      <c r="Q88" s="6">
        <v>0</v>
      </c>
      <c r="R88" s="22">
        <v>0</v>
      </c>
      <c r="S88" s="22">
        <v>0</v>
      </c>
      <c r="T88" s="24">
        <v>0</v>
      </c>
      <c r="U88" s="24">
        <v>0</v>
      </c>
    </row>
    <row r="89" spans="1:21" x14ac:dyDescent="0.3">
      <c r="A89" s="6">
        <v>254</v>
      </c>
      <c r="B89" s="6" t="s">
        <v>416</v>
      </c>
      <c r="C89" s="6" t="s">
        <v>493</v>
      </c>
      <c r="D89" s="6" t="s">
        <v>543</v>
      </c>
      <c r="E89" s="15" t="s">
        <v>329</v>
      </c>
      <c r="F89" s="15">
        <v>0</v>
      </c>
      <c r="G89" s="6">
        <v>1</v>
      </c>
      <c r="H89" s="6">
        <v>3</v>
      </c>
      <c r="I89" s="6">
        <v>2</v>
      </c>
      <c r="J89" s="6" t="s">
        <v>400</v>
      </c>
      <c r="K89" s="6">
        <v>3</v>
      </c>
      <c r="L89" s="6">
        <v>2</v>
      </c>
      <c r="M89" s="21">
        <v>784</v>
      </c>
      <c r="N89" s="6">
        <v>4</v>
      </c>
      <c r="O89" s="6">
        <v>0</v>
      </c>
      <c r="P89" s="6">
        <v>0</v>
      </c>
      <c r="Q89" s="6">
        <v>0</v>
      </c>
      <c r="R89" s="22">
        <v>0</v>
      </c>
      <c r="S89" s="22">
        <v>0</v>
      </c>
      <c r="T89" s="24">
        <v>0</v>
      </c>
      <c r="U89" s="24">
        <v>0</v>
      </c>
    </row>
    <row r="90" spans="1:21" x14ac:dyDescent="0.3">
      <c r="A90" s="6">
        <v>255</v>
      </c>
      <c r="B90" s="6" t="s">
        <v>403</v>
      </c>
      <c r="C90" s="6" t="s">
        <v>494</v>
      </c>
      <c r="D90" s="6" t="s">
        <v>544</v>
      </c>
      <c r="E90" s="15" t="s">
        <v>330</v>
      </c>
      <c r="F90" s="15">
        <v>0</v>
      </c>
      <c r="G90" s="6">
        <v>1</v>
      </c>
      <c r="H90" s="6">
        <v>3</v>
      </c>
      <c r="I90" s="6">
        <v>1</v>
      </c>
      <c r="J90" s="6" t="s">
        <v>413</v>
      </c>
      <c r="K90" s="6">
        <v>2</v>
      </c>
      <c r="L90" s="6">
        <v>2</v>
      </c>
      <c r="M90" s="21">
        <v>784</v>
      </c>
      <c r="N90" s="6">
        <v>0</v>
      </c>
      <c r="O90" s="6">
        <v>0</v>
      </c>
      <c r="P90" s="6">
        <v>0</v>
      </c>
      <c r="Q90" s="6">
        <v>0</v>
      </c>
      <c r="R90" s="22">
        <v>0</v>
      </c>
      <c r="S90" s="22">
        <v>0</v>
      </c>
      <c r="T90" s="24">
        <v>0</v>
      </c>
      <c r="U90" s="24">
        <v>0</v>
      </c>
    </row>
    <row r="91" spans="1:21" x14ac:dyDescent="0.3">
      <c r="A91" s="6">
        <v>256</v>
      </c>
      <c r="B91" s="6" t="s">
        <v>414</v>
      </c>
      <c r="C91" s="6" t="s">
        <v>495</v>
      </c>
      <c r="D91" s="6" t="s">
        <v>545</v>
      </c>
      <c r="E91" s="15" t="s">
        <v>331</v>
      </c>
      <c r="F91" s="15">
        <v>0</v>
      </c>
      <c r="G91" s="6">
        <v>1</v>
      </c>
      <c r="H91" s="6">
        <v>3</v>
      </c>
      <c r="I91" s="6">
        <v>2</v>
      </c>
      <c r="J91" s="6" t="s">
        <v>402</v>
      </c>
      <c r="K91" s="6">
        <v>2</v>
      </c>
      <c r="L91" s="6">
        <v>2</v>
      </c>
      <c r="M91" s="21">
        <v>784</v>
      </c>
      <c r="N91" s="6">
        <v>0</v>
      </c>
      <c r="O91" s="6">
        <v>0</v>
      </c>
      <c r="P91" s="6">
        <v>0</v>
      </c>
      <c r="Q91" s="6">
        <v>0</v>
      </c>
      <c r="R91" s="22">
        <v>0</v>
      </c>
      <c r="S91" s="22">
        <v>0</v>
      </c>
      <c r="T91" s="24">
        <v>0</v>
      </c>
      <c r="U91" s="24">
        <v>0</v>
      </c>
    </row>
    <row r="92" spans="1:21" x14ac:dyDescent="0.3">
      <c r="A92" s="6">
        <v>257</v>
      </c>
      <c r="B92" s="6" t="s">
        <v>405</v>
      </c>
      <c r="C92" s="6" t="s">
        <v>496</v>
      </c>
      <c r="D92" s="6" t="s">
        <v>546</v>
      </c>
      <c r="E92" s="15" t="s">
        <v>332</v>
      </c>
      <c r="F92" s="15">
        <v>0</v>
      </c>
      <c r="G92" s="6">
        <v>1</v>
      </c>
      <c r="H92" s="6">
        <v>3</v>
      </c>
      <c r="I92" s="6">
        <v>1</v>
      </c>
      <c r="J92" s="6" t="s">
        <v>411</v>
      </c>
      <c r="K92" s="6">
        <v>3</v>
      </c>
      <c r="L92" s="6">
        <v>2</v>
      </c>
      <c r="M92" s="21">
        <v>784</v>
      </c>
      <c r="N92" s="6">
        <v>2</v>
      </c>
      <c r="O92" s="6">
        <v>0</v>
      </c>
      <c r="P92" s="6">
        <v>0</v>
      </c>
      <c r="Q92" s="6">
        <v>0</v>
      </c>
      <c r="R92" s="22">
        <v>0</v>
      </c>
      <c r="S92" s="22">
        <v>0</v>
      </c>
      <c r="T92" s="24">
        <v>0</v>
      </c>
      <c r="U92" s="24">
        <v>0</v>
      </c>
    </row>
    <row r="93" spans="1:21" x14ac:dyDescent="0.3">
      <c r="A93" s="6">
        <v>258</v>
      </c>
      <c r="B93" s="6" t="s">
        <v>412</v>
      </c>
      <c r="C93" s="6" t="s">
        <v>497</v>
      </c>
      <c r="D93" s="6" t="s">
        <v>547</v>
      </c>
      <c r="E93" s="15" t="s">
        <v>333</v>
      </c>
      <c r="F93" s="15">
        <v>0</v>
      </c>
      <c r="G93" s="6">
        <v>1</v>
      </c>
      <c r="H93" s="6">
        <v>3</v>
      </c>
      <c r="I93" s="6">
        <v>2</v>
      </c>
      <c r="J93" s="6" t="s">
        <v>404</v>
      </c>
      <c r="K93" s="6">
        <v>3</v>
      </c>
      <c r="L93" s="6">
        <v>2</v>
      </c>
      <c r="M93" s="21">
        <v>784</v>
      </c>
      <c r="N93" s="6">
        <v>2</v>
      </c>
      <c r="O93" s="6">
        <v>0</v>
      </c>
      <c r="P93" s="6">
        <v>0</v>
      </c>
      <c r="Q93" s="6">
        <v>0</v>
      </c>
      <c r="R93" s="22">
        <v>0</v>
      </c>
      <c r="S93" s="22">
        <v>0</v>
      </c>
      <c r="T93" s="24">
        <v>0</v>
      </c>
      <c r="U93" s="24">
        <v>0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5"/>
  <sheetViews>
    <sheetView workbookViewId="0"/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92</v>
      </c>
      <c r="B1" s="2" t="s">
        <v>74</v>
      </c>
      <c r="C1" s="2" t="s">
        <v>262</v>
      </c>
      <c r="D1" s="2">
        <v>1</v>
      </c>
      <c r="E1" s="2">
        <v>2</v>
      </c>
      <c r="F1" s="2" t="s">
        <v>334</v>
      </c>
      <c r="G1" s="2" t="s">
        <v>335</v>
      </c>
      <c r="H1" s="2" t="s">
        <v>336</v>
      </c>
      <c r="I1" s="2" t="s">
        <v>264</v>
      </c>
      <c r="J1" s="2" t="s">
        <v>266</v>
      </c>
      <c r="K1" s="2" t="s">
        <v>268</v>
      </c>
      <c r="L1" s="2" t="s">
        <v>338</v>
      </c>
      <c r="M1" s="2" t="s">
        <v>337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균열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균열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균열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F80"/>
  <sheetViews>
    <sheetView workbookViewId="0">
      <selection activeCell="D10" sqref="D10"/>
    </sheetView>
  </sheetViews>
  <sheetFormatPr defaultRowHeight="12" x14ac:dyDescent="0.3"/>
  <cols>
    <col min="1" max="1" width="9" style="6"/>
    <col min="2" max="2" width="11.625" style="6" bestFit="1" customWidth="1"/>
    <col min="3" max="3" width="10" style="6" bestFit="1" customWidth="1"/>
    <col min="4" max="4" width="10" style="6" customWidth="1"/>
    <col min="5" max="5" width="18.375" style="7" customWidth="1"/>
    <col min="6" max="6" width="95" style="7" bestFit="1" customWidth="1"/>
    <col min="7" max="7" width="9.75" style="6" bestFit="1" customWidth="1"/>
    <col min="8" max="17" width="9" style="6"/>
    <col min="18" max="18" width="3" style="5" customWidth="1"/>
    <col min="19" max="27" width="13.125" style="10" bestFit="1" customWidth="1"/>
    <col min="28" max="28" width="14.125" style="10" bestFit="1" customWidth="1"/>
    <col min="29" max="29" width="9" style="4"/>
    <col min="30" max="30" width="18" style="4" bestFit="1" customWidth="1"/>
    <col min="31" max="31" width="34.5" style="4" bestFit="1" customWidth="1"/>
    <col min="32" max="16384" width="9" style="4"/>
  </cols>
  <sheetData>
    <row r="1" spans="1:32" x14ac:dyDescent="0.3">
      <c r="A1" s="2" t="s">
        <v>9</v>
      </c>
      <c r="B1" s="2" t="s">
        <v>8</v>
      </c>
      <c r="C1" s="2" t="s">
        <v>269</v>
      </c>
      <c r="D1" s="2" t="s">
        <v>1047</v>
      </c>
      <c r="E1" s="8" t="s">
        <v>10</v>
      </c>
      <c r="F1" s="8" t="s">
        <v>21</v>
      </c>
      <c r="G1" s="2" t="s">
        <v>593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20</v>
      </c>
      <c r="S1" s="9" t="s">
        <v>11</v>
      </c>
      <c r="T1" s="9" t="s">
        <v>12</v>
      </c>
      <c r="U1" s="9" t="s">
        <v>13</v>
      </c>
      <c r="V1" s="9" t="s">
        <v>14</v>
      </c>
      <c r="W1" s="9" t="s">
        <v>15</v>
      </c>
      <c r="X1" s="9" t="s">
        <v>16</v>
      </c>
      <c r="Y1" s="9" t="s">
        <v>17</v>
      </c>
      <c r="Z1" s="9" t="s">
        <v>18</v>
      </c>
      <c r="AA1" s="9" t="s">
        <v>19</v>
      </c>
      <c r="AB1" s="9" t="s">
        <v>20</v>
      </c>
    </row>
    <row r="2" spans="1:32" x14ac:dyDescent="0.3">
      <c r="A2" s="6" t="s">
        <v>613</v>
      </c>
      <c r="B2" s="6" t="s">
        <v>715</v>
      </c>
      <c r="C2" s="6" t="s">
        <v>716</v>
      </c>
      <c r="D2" s="6" t="s">
        <v>1048</v>
      </c>
      <c r="E2" s="7" t="s">
        <v>22</v>
      </c>
      <c r="F2" s="7" t="s">
        <v>23</v>
      </c>
      <c r="G2" s="10">
        <v>1</v>
      </c>
      <c r="H2" s="10">
        <v>3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Q2" s="10">
        <v>0</v>
      </c>
      <c r="S2" s="10" t="s">
        <v>51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B2" s="10">
        <v>0</v>
      </c>
      <c r="AD2" s="32" t="s">
        <v>599</v>
      </c>
      <c r="AE2" s="34"/>
      <c r="AF2" s="35"/>
    </row>
    <row r="3" spans="1:32" x14ac:dyDescent="0.3">
      <c r="A3" s="6" t="s">
        <v>614</v>
      </c>
      <c r="B3" s="6" t="s">
        <v>717</v>
      </c>
      <c r="C3" s="6" t="s">
        <v>718</v>
      </c>
      <c r="D3" s="6" t="s">
        <v>1049</v>
      </c>
      <c r="E3" s="7" t="s">
        <v>24</v>
      </c>
      <c r="F3" s="7" t="s">
        <v>25</v>
      </c>
      <c r="G3" s="10">
        <v>1</v>
      </c>
      <c r="H3" s="10">
        <v>1.25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S3" s="10" t="s">
        <v>52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D3" s="2" t="s">
        <v>86</v>
      </c>
      <c r="AE3" s="2" t="s">
        <v>87</v>
      </c>
      <c r="AF3" s="2" t="s">
        <v>88</v>
      </c>
    </row>
    <row r="4" spans="1:32" x14ac:dyDescent="0.3">
      <c r="A4" s="6" t="s">
        <v>615</v>
      </c>
      <c r="B4" s="6" t="s">
        <v>719</v>
      </c>
      <c r="C4" s="6" t="s">
        <v>720</v>
      </c>
      <c r="D4" s="6" t="s">
        <v>1050</v>
      </c>
      <c r="E4" s="7" t="s">
        <v>26</v>
      </c>
      <c r="F4" s="7" t="s">
        <v>27</v>
      </c>
      <c r="G4" s="10">
        <v>1</v>
      </c>
      <c r="H4" s="10">
        <v>3000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S4" s="10" t="s">
        <v>53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D4" s="2" t="s">
        <v>594</v>
      </c>
      <c r="AE4" s="6" t="s">
        <v>600</v>
      </c>
      <c r="AF4" s="6" t="s">
        <v>89</v>
      </c>
    </row>
    <row r="5" spans="1:32" x14ac:dyDescent="0.3">
      <c r="A5" s="6" t="s">
        <v>616</v>
      </c>
      <c r="B5" s="6" t="s">
        <v>721</v>
      </c>
      <c r="C5" s="6" t="s">
        <v>722</v>
      </c>
      <c r="D5" s="6" t="s">
        <v>1051</v>
      </c>
      <c r="E5" s="7" t="s">
        <v>1046</v>
      </c>
      <c r="F5" s="7" t="s">
        <v>28</v>
      </c>
      <c r="G5" s="10">
        <v>1</v>
      </c>
      <c r="H5" s="10">
        <v>1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S5" s="10" t="s">
        <v>54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B5" s="10">
        <v>0</v>
      </c>
      <c r="AD5" s="2" t="s">
        <v>595</v>
      </c>
      <c r="AE5" s="6" t="s">
        <v>601</v>
      </c>
      <c r="AF5" s="6" t="s">
        <v>89</v>
      </c>
    </row>
    <row r="6" spans="1:32" x14ac:dyDescent="0.3">
      <c r="A6" s="6" t="s">
        <v>617</v>
      </c>
      <c r="B6" s="6" t="s">
        <v>723</v>
      </c>
      <c r="C6" s="6" t="s">
        <v>724</v>
      </c>
      <c r="D6" s="6" t="s">
        <v>1052</v>
      </c>
      <c r="E6" s="7" t="s">
        <v>1045</v>
      </c>
      <c r="F6" s="7" t="s">
        <v>29</v>
      </c>
      <c r="G6" s="10">
        <v>1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B6" s="10">
        <v>0</v>
      </c>
      <c r="AD6" s="2" t="s">
        <v>596</v>
      </c>
      <c r="AE6" s="6" t="s">
        <v>602</v>
      </c>
      <c r="AF6" s="6" t="s">
        <v>89</v>
      </c>
    </row>
    <row r="7" spans="1:32" x14ac:dyDescent="0.3">
      <c r="A7" s="6" t="s">
        <v>618</v>
      </c>
      <c r="B7" s="6" t="s">
        <v>725</v>
      </c>
      <c r="C7" s="6" t="s">
        <v>726</v>
      </c>
      <c r="D7" s="6" t="s">
        <v>1053</v>
      </c>
      <c r="E7" s="7" t="s">
        <v>1044</v>
      </c>
      <c r="F7" s="7" t="s">
        <v>30</v>
      </c>
      <c r="G7" s="10">
        <v>1</v>
      </c>
      <c r="H7" s="10">
        <v>10</v>
      </c>
      <c r="I7" s="10">
        <v>5</v>
      </c>
      <c r="J7" s="10">
        <v>50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S7" s="10" t="s">
        <v>54</v>
      </c>
      <c r="T7" s="10" t="s">
        <v>55</v>
      </c>
      <c r="U7" s="10" t="s">
        <v>68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B7" s="10">
        <v>0</v>
      </c>
      <c r="AD7" s="2" t="s">
        <v>597</v>
      </c>
      <c r="AE7" s="6" t="s">
        <v>603</v>
      </c>
      <c r="AF7" s="6" t="s">
        <v>97</v>
      </c>
    </row>
    <row r="8" spans="1:32" x14ac:dyDescent="0.3">
      <c r="A8" s="6" t="s">
        <v>619</v>
      </c>
      <c r="B8" s="6" t="s">
        <v>727</v>
      </c>
      <c r="C8" s="6" t="s">
        <v>728</v>
      </c>
      <c r="D8" s="6" t="s">
        <v>1054</v>
      </c>
      <c r="E8" s="7" t="s">
        <v>31</v>
      </c>
      <c r="F8" s="7" t="s">
        <v>32</v>
      </c>
      <c r="G8" s="10">
        <v>1</v>
      </c>
      <c r="H8" s="10">
        <v>1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S8" s="10" t="s">
        <v>69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B8" s="10">
        <v>0</v>
      </c>
      <c r="AD8" s="2" t="s">
        <v>598</v>
      </c>
      <c r="AE8" s="6" t="s">
        <v>604</v>
      </c>
      <c r="AF8" s="6" t="s">
        <v>97</v>
      </c>
    </row>
    <row r="9" spans="1:32" x14ac:dyDescent="0.3">
      <c r="A9" s="6" t="s">
        <v>620</v>
      </c>
      <c r="B9" s="6" t="s">
        <v>729</v>
      </c>
      <c r="C9" s="6" t="s">
        <v>730</v>
      </c>
      <c r="D9" s="6" t="s">
        <v>1055</v>
      </c>
      <c r="E9" s="7" t="s">
        <v>33</v>
      </c>
      <c r="F9" s="7" t="s">
        <v>34</v>
      </c>
      <c r="G9" s="10">
        <v>1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B9" s="10">
        <v>0</v>
      </c>
      <c r="AD9" s="2" t="s">
        <v>592</v>
      </c>
      <c r="AE9" s="6" t="s">
        <v>605</v>
      </c>
      <c r="AF9" s="6" t="s">
        <v>101</v>
      </c>
    </row>
    <row r="10" spans="1:32" x14ac:dyDescent="0.3">
      <c r="A10" s="6" t="s">
        <v>621</v>
      </c>
      <c r="B10" s="6" t="s">
        <v>731</v>
      </c>
      <c r="C10" s="6" t="s">
        <v>732</v>
      </c>
      <c r="D10" s="6" t="s">
        <v>1056</v>
      </c>
      <c r="E10" s="7" t="s">
        <v>1043</v>
      </c>
      <c r="F10" s="7" t="s">
        <v>35</v>
      </c>
      <c r="G10" s="10">
        <v>1</v>
      </c>
      <c r="H10" s="10">
        <v>3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S10" s="10" t="s">
        <v>52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D10" s="2" t="s">
        <v>607</v>
      </c>
      <c r="AE10" s="6" t="s">
        <v>606</v>
      </c>
      <c r="AF10" s="6" t="s">
        <v>608</v>
      </c>
    </row>
    <row r="11" spans="1:32" x14ac:dyDescent="0.3">
      <c r="A11" s="6" t="s">
        <v>622</v>
      </c>
      <c r="B11" s="6" t="s">
        <v>733</v>
      </c>
      <c r="C11" s="6" t="s">
        <v>734</v>
      </c>
      <c r="D11" s="6" t="s">
        <v>1057</v>
      </c>
      <c r="E11" s="7" t="s">
        <v>1042</v>
      </c>
      <c r="F11" s="7" t="s">
        <v>36</v>
      </c>
      <c r="G11" s="10">
        <v>1</v>
      </c>
      <c r="H11" s="10">
        <v>1.5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S11" s="10" t="s">
        <v>52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</row>
    <row r="12" spans="1:32" x14ac:dyDescent="0.3">
      <c r="A12" s="6" t="s">
        <v>623</v>
      </c>
      <c r="B12" s="6" t="s">
        <v>735</v>
      </c>
      <c r="C12" s="6" t="s">
        <v>736</v>
      </c>
      <c r="D12" s="6" t="s">
        <v>1058</v>
      </c>
      <c r="E12" s="7" t="s">
        <v>1212</v>
      </c>
      <c r="F12" s="7" t="s">
        <v>1127</v>
      </c>
      <c r="G12" s="10">
        <v>1</v>
      </c>
      <c r="H12" s="10">
        <v>3000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S12" s="10" t="s">
        <v>53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</row>
    <row r="13" spans="1:32" x14ac:dyDescent="0.3">
      <c r="A13" s="6" t="s">
        <v>624</v>
      </c>
      <c r="B13" s="6" t="s">
        <v>737</v>
      </c>
      <c r="C13" s="6" t="s">
        <v>738</v>
      </c>
      <c r="D13" s="6" t="s">
        <v>1059</v>
      </c>
      <c r="E13" s="7" t="s">
        <v>37</v>
      </c>
      <c r="F13" s="7" t="s">
        <v>38</v>
      </c>
      <c r="G13" s="10">
        <v>1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  <c r="AB13" s="10">
        <v>0</v>
      </c>
    </row>
    <row r="14" spans="1:32" x14ac:dyDescent="0.3">
      <c r="A14" s="6" t="s">
        <v>625</v>
      </c>
      <c r="B14" s="6" t="s">
        <v>739</v>
      </c>
      <c r="C14" s="6" t="s">
        <v>740</v>
      </c>
      <c r="D14" s="6" t="s">
        <v>1060</v>
      </c>
      <c r="E14" s="7" t="s">
        <v>1041</v>
      </c>
      <c r="F14" s="7" t="s">
        <v>39</v>
      </c>
      <c r="G14" s="10">
        <v>1</v>
      </c>
      <c r="H14" s="10">
        <v>2.25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S14" s="10" t="s">
        <v>52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  <c r="AB14" s="10">
        <v>0</v>
      </c>
    </row>
    <row r="15" spans="1:32" x14ac:dyDescent="0.3">
      <c r="A15" s="6" t="s">
        <v>626</v>
      </c>
      <c r="B15" s="6" t="s">
        <v>741</v>
      </c>
      <c r="C15" s="6" t="s">
        <v>742</v>
      </c>
      <c r="D15" s="6" t="s">
        <v>1061</v>
      </c>
      <c r="E15" s="7" t="s">
        <v>40</v>
      </c>
      <c r="F15" s="7" t="s">
        <v>41</v>
      </c>
      <c r="G15" s="10">
        <v>1</v>
      </c>
      <c r="H15" s="10">
        <v>0.1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S15" s="10" t="s">
        <v>67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</row>
    <row r="16" spans="1:32" x14ac:dyDescent="0.3">
      <c r="A16" s="6" t="s">
        <v>627</v>
      </c>
      <c r="B16" s="6" t="s">
        <v>743</v>
      </c>
      <c r="C16" s="6" t="s">
        <v>744</v>
      </c>
      <c r="D16" s="6" t="s">
        <v>1062</v>
      </c>
      <c r="E16" s="7" t="s">
        <v>1040</v>
      </c>
      <c r="F16" s="7" t="s">
        <v>42</v>
      </c>
      <c r="G16" s="10">
        <v>1</v>
      </c>
      <c r="H16" s="10">
        <v>3000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S16" s="10" t="s">
        <v>53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</row>
    <row r="17" spans="1:28" x14ac:dyDescent="0.3">
      <c r="A17" s="6" t="s">
        <v>628</v>
      </c>
      <c r="B17" s="6" t="s">
        <v>745</v>
      </c>
      <c r="C17" s="6" t="s">
        <v>746</v>
      </c>
      <c r="D17" s="6" t="s">
        <v>1063</v>
      </c>
      <c r="E17" s="7" t="s">
        <v>1213</v>
      </c>
      <c r="F17" s="7" t="s">
        <v>43</v>
      </c>
      <c r="G17" s="10">
        <v>1</v>
      </c>
      <c r="H17" s="10">
        <v>3000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S17" s="10" t="s">
        <v>53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</row>
    <row r="18" spans="1:28" x14ac:dyDescent="0.3">
      <c r="A18" s="6" t="s">
        <v>629</v>
      </c>
      <c r="B18" s="6" t="s">
        <v>747</v>
      </c>
      <c r="C18" s="6" t="s">
        <v>748</v>
      </c>
      <c r="D18" s="6" t="s">
        <v>1064</v>
      </c>
      <c r="E18" s="7" t="s">
        <v>1039</v>
      </c>
      <c r="F18" s="7" t="s">
        <v>44</v>
      </c>
      <c r="G18" s="10">
        <v>1</v>
      </c>
      <c r="H18" s="10">
        <v>5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S18" s="10" t="s">
        <v>51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</row>
    <row r="19" spans="1:28" x14ac:dyDescent="0.3">
      <c r="A19" s="6" t="s">
        <v>630</v>
      </c>
      <c r="B19" s="6" t="s">
        <v>749</v>
      </c>
      <c r="C19" s="6" t="s">
        <v>750</v>
      </c>
      <c r="D19" s="6" t="s">
        <v>1065</v>
      </c>
      <c r="E19" s="7" t="s">
        <v>45</v>
      </c>
      <c r="F19" s="7" t="s">
        <v>46</v>
      </c>
      <c r="G19" s="10">
        <v>1</v>
      </c>
      <c r="H19" s="10">
        <v>3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S19" s="10" t="s">
        <v>54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</row>
    <row r="20" spans="1:28" x14ac:dyDescent="0.3">
      <c r="A20" s="6" t="s">
        <v>631</v>
      </c>
      <c r="B20" s="6" t="s">
        <v>751</v>
      </c>
      <c r="C20" s="6" t="s">
        <v>752</v>
      </c>
      <c r="D20" s="6" t="s">
        <v>1066</v>
      </c>
      <c r="E20" s="7" t="s">
        <v>1038</v>
      </c>
      <c r="F20" s="7" t="s">
        <v>47</v>
      </c>
      <c r="G20" s="10">
        <v>1</v>
      </c>
      <c r="H20" s="10">
        <v>2.5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S20" s="10" t="s">
        <v>52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</row>
    <row r="21" spans="1:28" x14ac:dyDescent="0.3">
      <c r="A21" s="6" t="s">
        <v>632</v>
      </c>
      <c r="B21" s="6" t="s">
        <v>753</v>
      </c>
      <c r="C21" s="6" t="s">
        <v>754</v>
      </c>
      <c r="D21" s="6" t="s">
        <v>1067</v>
      </c>
      <c r="E21" s="7" t="s">
        <v>1037</v>
      </c>
      <c r="F21" s="7" t="s">
        <v>48</v>
      </c>
      <c r="G21" s="10">
        <v>1</v>
      </c>
      <c r="H21" s="10">
        <v>7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S21" s="10" t="s">
        <v>56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</row>
    <row r="22" spans="1:28" x14ac:dyDescent="0.3">
      <c r="A22" s="6" t="s">
        <v>633</v>
      </c>
      <c r="B22" s="6" t="s">
        <v>755</v>
      </c>
      <c r="C22" s="6" t="s">
        <v>756</v>
      </c>
      <c r="D22" s="6" t="s">
        <v>1068</v>
      </c>
      <c r="E22" s="7" t="s">
        <v>49</v>
      </c>
      <c r="F22" s="7" t="s">
        <v>50</v>
      </c>
      <c r="G22" s="10">
        <v>1</v>
      </c>
      <c r="H22" s="10">
        <v>2500</v>
      </c>
      <c r="I22" s="10">
        <v>2000</v>
      </c>
      <c r="J22" s="10">
        <v>1500</v>
      </c>
      <c r="K22" s="10">
        <v>1300</v>
      </c>
      <c r="L22" s="10">
        <v>1100</v>
      </c>
      <c r="M22" s="10">
        <v>1000</v>
      </c>
      <c r="N22" s="10">
        <v>700</v>
      </c>
      <c r="O22" s="10">
        <v>500</v>
      </c>
      <c r="P22" s="10">
        <v>300</v>
      </c>
      <c r="Q22" s="10">
        <v>100</v>
      </c>
      <c r="S22" s="10" t="s">
        <v>57</v>
      </c>
      <c r="T22" s="10" t="s">
        <v>58</v>
      </c>
      <c r="U22" s="10" t="s">
        <v>59</v>
      </c>
      <c r="V22" s="10" t="s">
        <v>60</v>
      </c>
      <c r="W22" s="10" t="s">
        <v>61</v>
      </c>
      <c r="X22" s="10" t="s">
        <v>62</v>
      </c>
      <c r="Y22" s="10" t="s">
        <v>63</v>
      </c>
      <c r="Z22" s="10" t="s">
        <v>64</v>
      </c>
      <c r="AA22" s="10" t="s">
        <v>65</v>
      </c>
      <c r="AB22" s="10" t="s">
        <v>66</v>
      </c>
    </row>
    <row r="23" spans="1:28" x14ac:dyDescent="0.3">
      <c r="A23" s="6" t="s">
        <v>634</v>
      </c>
      <c r="B23" s="6" t="s">
        <v>757</v>
      </c>
      <c r="C23" s="6" t="s">
        <v>758</v>
      </c>
      <c r="D23" s="6" t="s">
        <v>1069</v>
      </c>
      <c r="E23" s="7" t="s">
        <v>1214</v>
      </c>
      <c r="F23" s="7" t="s">
        <v>1035</v>
      </c>
      <c r="G23" s="10">
        <v>1</v>
      </c>
      <c r="H23" s="10">
        <v>2000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S23" s="10" t="s">
        <v>53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</row>
    <row r="24" spans="1:28" x14ac:dyDescent="0.3">
      <c r="A24" s="6" t="s">
        <v>1032</v>
      </c>
      <c r="B24" s="6" t="s">
        <v>1033</v>
      </c>
      <c r="C24" s="6" t="s">
        <v>1034</v>
      </c>
      <c r="D24" s="6" t="s">
        <v>1070</v>
      </c>
      <c r="E24" s="7" t="s">
        <v>1215</v>
      </c>
      <c r="F24" s="7" t="s">
        <v>1036</v>
      </c>
      <c r="G24" s="10">
        <v>1</v>
      </c>
      <c r="H24" s="10">
        <v>2000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S24" s="10" t="s">
        <v>53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</row>
    <row r="25" spans="1:28" x14ac:dyDescent="0.3">
      <c r="A25" s="6" t="s">
        <v>635</v>
      </c>
      <c r="B25" s="6" t="s">
        <v>759</v>
      </c>
      <c r="C25" s="6" t="s">
        <v>760</v>
      </c>
      <c r="D25" s="6" t="s">
        <v>1071</v>
      </c>
      <c r="E25" s="7" t="s">
        <v>551</v>
      </c>
      <c r="F25" s="7" t="s">
        <v>564</v>
      </c>
      <c r="G25" s="10">
        <v>1</v>
      </c>
      <c r="H25" s="6">
        <v>500</v>
      </c>
      <c r="I25" s="6">
        <v>1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 s="10" t="s">
        <v>53</v>
      </c>
      <c r="T25" s="10" t="s">
        <v>569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</row>
    <row r="26" spans="1:28" x14ac:dyDescent="0.3">
      <c r="A26" s="6" t="s">
        <v>636</v>
      </c>
      <c r="B26" s="6" t="s">
        <v>761</v>
      </c>
      <c r="C26" s="6" t="s">
        <v>762</v>
      </c>
      <c r="D26" s="6" t="s">
        <v>1072</v>
      </c>
      <c r="E26" s="7" t="s">
        <v>552</v>
      </c>
      <c r="F26" s="7" t="s">
        <v>565</v>
      </c>
      <c r="G26" s="10">
        <v>1</v>
      </c>
      <c r="H26" s="6">
        <v>0</v>
      </c>
      <c r="I26" s="6">
        <v>2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 s="10" t="s">
        <v>569</v>
      </c>
      <c r="T26" s="10" t="s">
        <v>52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</row>
    <row r="27" spans="1:28" x14ac:dyDescent="0.3">
      <c r="A27" s="6" t="s">
        <v>637</v>
      </c>
      <c r="B27" s="6" t="s">
        <v>763</v>
      </c>
      <c r="C27" s="6" t="s">
        <v>764</v>
      </c>
      <c r="D27" s="6" t="s">
        <v>1073</v>
      </c>
      <c r="E27" s="7" t="s">
        <v>553</v>
      </c>
      <c r="F27" s="7" t="s">
        <v>566</v>
      </c>
      <c r="G27" s="10">
        <v>1</v>
      </c>
      <c r="H27" s="6">
        <v>30</v>
      </c>
      <c r="I27" s="6">
        <v>1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 s="10" t="s">
        <v>570</v>
      </c>
      <c r="T27" s="10" t="s">
        <v>569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</row>
    <row r="28" spans="1:28" x14ac:dyDescent="0.3">
      <c r="A28" s="6" t="s">
        <v>638</v>
      </c>
      <c r="B28" s="6" t="s">
        <v>765</v>
      </c>
      <c r="C28" s="6" t="s">
        <v>766</v>
      </c>
      <c r="D28" s="6" t="s">
        <v>1074</v>
      </c>
      <c r="E28" s="7" t="s">
        <v>554</v>
      </c>
      <c r="F28" s="7" t="s">
        <v>567</v>
      </c>
      <c r="G28" s="10">
        <v>1</v>
      </c>
      <c r="H28" s="6">
        <v>1</v>
      </c>
      <c r="I28" s="6">
        <v>2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 s="10" t="s">
        <v>569</v>
      </c>
      <c r="T28" s="10" t="s">
        <v>54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</row>
    <row r="29" spans="1:28" x14ac:dyDescent="0.3">
      <c r="A29" s="6" t="s">
        <v>639</v>
      </c>
      <c r="B29" s="6" t="s">
        <v>767</v>
      </c>
      <c r="C29" s="6" t="s">
        <v>768</v>
      </c>
      <c r="D29" s="6" t="s">
        <v>1075</v>
      </c>
      <c r="E29" s="7" t="s">
        <v>555</v>
      </c>
      <c r="F29" s="7" t="s">
        <v>568</v>
      </c>
      <c r="G29" s="10">
        <v>1</v>
      </c>
      <c r="H29" s="6">
        <v>2</v>
      </c>
      <c r="I29" s="6">
        <v>2</v>
      </c>
      <c r="J29" s="6">
        <v>1.2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 s="10" t="s">
        <v>52</v>
      </c>
      <c r="T29" s="10" t="s">
        <v>52</v>
      </c>
      <c r="U29" s="10" t="s">
        <v>52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</row>
    <row r="30" spans="1:28" x14ac:dyDescent="0.3">
      <c r="A30" s="6" t="s">
        <v>640</v>
      </c>
      <c r="B30" s="6" t="s">
        <v>769</v>
      </c>
      <c r="C30" s="6" t="s">
        <v>770</v>
      </c>
      <c r="D30" s="6" t="s">
        <v>1076</v>
      </c>
      <c r="E30" s="7" t="s">
        <v>556</v>
      </c>
      <c r="F30" s="7" t="s">
        <v>571</v>
      </c>
      <c r="G30" s="10">
        <v>1</v>
      </c>
      <c r="H30" s="6">
        <v>1</v>
      </c>
      <c r="I30" s="6">
        <v>10</v>
      </c>
      <c r="J30" s="6">
        <v>1.2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 s="10" t="s">
        <v>569</v>
      </c>
      <c r="T30" s="10" t="s">
        <v>569</v>
      </c>
      <c r="U30" s="10" t="s">
        <v>52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</row>
    <row r="31" spans="1:28" x14ac:dyDescent="0.3">
      <c r="A31" s="6" t="s">
        <v>641</v>
      </c>
      <c r="B31" s="6" t="s">
        <v>771</v>
      </c>
      <c r="C31" s="6" t="s">
        <v>772</v>
      </c>
      <c r="D31" s="6" t="s">
        <v>1077</v>
      </c>
      <c r="E31" s="7" t="s">
        <v>557</v>
      </c>
      <c r="F31" s="7" t="s">
        <v>572</v>
      </c>
      <c r="G31" s="10">
        <v>1</v>
      </c>
      <c r="H31" s="6">
        <v>1</v>
      </c>
      <c r="I31" s="6">
        <v>1</v>
      </c>
      <c r="J31" s="6">
        <v>0.1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 s="10" t="s">
        <v>52</v>
      </c>
      <c r="T31" s="10" t="s">
        <v>569</v>
      </c>
      <c r="U31" s="10" t="s">
        <v>52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</row>
    <row r="32" spans="1:28" x14ac:dyDescent="0.3">
      <c r="A32" s="6" t="s">
        <v>642</v>
      </c>
      <c r="B32" s="6" t="s">
        <v>773</v>
      </c>
      <c r="C32" s="6" t="s">
        <v>774</v>
      </c>
      <c r="D32" s="6" t="s">
        <v>1078</v>
      </c>
      <c r="E32" s="7" t="s">
        <v>558</v>
      </c>
      <c r="F32" s="7" t="s">
        <v>573</v>
      </c>
      <c r="G32" s="10">
        <v>1</v>
      </c>
      <c r="H32" s="6">
        <v>1000</v>
      </c>
      <c r="I32" s="6">
        <v>100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 s="10" t="s">
        <v>53</v>
      </c>
      <c r="T32" s="10" t="s">
        <v>53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</row>
    <row r="33" spans="1:28" x14ac:dyDescent="0.3">
      <c r="A33" s="6" t="s">
        <v>643</v>
      </c>
      <c r="B33" s="6" t="s">
        <v>775</v>
      </c>
      <c r="C33" s="6" t="s">
        <v>776</v>
      </c>
      <c r="D33" s="6" t="s">
        <v>1079</v>
      </c>
      <c r="E33" s="7" t="s">
        <v>559</v>
      </c>
      <c r="F33" s="7" t="s">
        <v>575</v>
      </c>
      <c r="G33" s="10">
        <v>3</v>
      </c>
      <c r="H33" s="6">
        <v>3</v>
      </c>
      <c r="I33" s="6">
        <v>1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 s="10" t="s">
        <v>574</v>
      </c>
      <c r="T33" s="10" t="s">
        <v>569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</row>
    <row r="34" spans="1:28" x14ac:dyDescent="0.3">
      <c r="A34" s="6" t="s">
        <v>644</v>
      </c>
      <c r="B34" s="6" t="s">
        <v>777</v>
      </c>
      <c r="C34" s="6" t="s">
        <v>778</v>
      </c>
      <c r="D34" s="6" t="s">
        <v>1080</v>
      </c>
      <c r="E34" s="7" t="s">
        <v>560</v>
      </c>
      <c r="F34" s="7" t="s">
        <v>575</v>
      </c>
      <c r="G34" s="10">
        <v>2</v>
      </c>
      <c r="H34" s="6">
        <v>5</v>
      </c>
      <c r="I34" s="6">
        <v>1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 s="10" t="s">
        <v>574</v>
      </c>
      <c r="T34" s="10" t="s">
        <v>569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</row>
    <row r="35" spans="1:28" x14ac:dyDescent="0.3">
      <c r="A35" s="6" t="s">
        <v>645</v>
      </c>
      <c r="B35" s="6" t="s">
        <v>779</v>
      </c>
      <c r="C35" s="6" t="s">
        <v>780</v>
      </c>
      <c r="D35" s="6" t="s">
        <v>1081</v>
      </c>
      <c r="E35" s="7" t="s">
        <v>561</v>
      </c>
      <c r="F35" s="7" t="s">
        <v>575</v>
      </c>
      <c r="G35" s="10">
        <v>2</v>
      </c>
      <c r="H35" s="6">
        <v>7</v>
      </c>
      <c r="I35" s="6">
        <v>1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 s="10" t="s">
        <v>574</v>
      </c>
      <c r="T35" s="10" t="s">
        <v>569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</row>
    <row r="36" spans="1:28" x14ac:dyDescent="0.3">
      <c r="A36" s="6" t="s">
        <v>646</v>
      </c>
      <c r="B36" s="6" t="s">
        <v>781</v>
      </c>
      <c r="C36" s="6" t="s">
        <v>782</v>
      </c>
      <c r="D36" s="6" t="s">
        <v>1082</v>
      </c>
      <c r="E36" s="7" t="s">
        <v>562</v>
      </c>
      <c r="F36" s="7" t="s">
        <v>575</v>
      </c>
      <c r="G36" s="10">
        <v>1</v>
      </c>
      <c r="H36" s="6">
        <v>11</v>
      </c>
      <c r="I36" s="6">
        <v>1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 s="10" t="s">
        <v>574</v>
      </c>
      <c r="T36" s="10" t="s">
        <v>569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</row>
    <row r="37" spans="1:28" x14ac:dyDescent="0.3">
      <c r="A37" s="6" t="s">
        <v>647</v>
      </c>
      <c r="B37" s="6" t="s">
        <v>783</v>
      </c>
      <c r="C37" s="6" t="s">
        <v>784</v>
      </c>
      <c r="D37" s="6" t="s">
        <v>1083</v>
      </c>
      <c r="E37" s="7" t="s">
        <v>563</v>
      </c>
      <c r="F37" s="7" t="s">
        <v>576</v>
      </c>
      <c r="G37" s="10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 s="10" t="s">
        <v>569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</row>
    <row r="38" spans="1:28" x14ac:dyDescent="0.3">
      <c r="A38" s="6" t="s">
        <v>799</v>
      </c>
      <c r="B38" s="6" t="s">
        <v>803</v>
      </c>
      <c r="C38" s="6" t="s">
        <v>804</v>
      </c>
      <c r="D38" s="6" t="s">
        <v>1084</v>
      </c>
      <c r="E38" s="7" t="s">
        <v>794</v>
      </c>
      <c r="F38" s="7" t="s">
        <v>798</v>
      </c>
      <c r="G38" s="6">
        <v>2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</row>
    <row r="39" spans="1:28" x14ac:dyDescent="0.3">
      <c r="A39" s="6" t="s">
        <v>800</v>
      </c>
      <c r="B39" s="6" t="s">
        <v>805</v>
      </c>
      <c r="C39" s="6" t="s">
        <v>806</v>
      </c>
      <c r="D39" s="6" t="s">
        <v>1085</v>
      </c>
      <c r="E39" s="7" t="s">
        <v>795</v>
      </c>
      <c r="F39" s="7" t="s">
        <v>811</v>
      </c>
      <c r="G39" s="6">
        <v>2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</row>
    <row r="40" spans="1:28" x14ac:dyDescent="0.3">
      <c r="A40" s="6" t="s">
        <v>801</v>
      </c>
      <c r="B40" s="6" t="s">
        <v>807</v>
      </c>
      <c r="C40" s="6" t="s">
        <v>808</v>
      </c>
      <c r="D40" s="6" t="s">
        <v>1086</v>
      </c>
      <c r="E40" s="7" t="s">
        <v>796</v>
      </c>
      <c r="F40" s="7" t="s">
        <v>812</v>
      </c>
      <c r="G40" s="6">
        <v>2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</row>
    <row r="41" spans="1:28" x14ac:dyDescent="0.3">
      <c r="A41" s="6" t="s">
        <v>802</v>
      </c>
      <c r="B41" s="6" t="s">
        <v>809</v>
      </c>
      <c r="C41" s="6" t="s">
        <v>810</v>
      </c>
      <c r="D41" s="6" t="s">
        <v>1087</v>
      </c>
      <c r="E41" s="7" t="s">
        <v>797</v>
      </c>
      <c r="F41" s="7" t="s">
        <v>813</v>
      </c>
      <c r="G41" s="6">
        <v>2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</row>
    <row r="42" spans="1:28" x14ac:dyDescent="0.3">
      <c r="A42" s="6" t="s">
        <v>828</v>
      </c>
      <c r="B42" s="6" t="s">
        <v>829</v>
      </c>
      <c r="C42" s="6" t="s">
        <v>830</v>
      </c>
      <c r="D42" s="6" t="s">
        <v>1088</v>
      </c>
      <c r="E42" s="7" t="s">
        <v>815</v>
      </c>
      <c r="F42" s="7" t="s">
        <v>974</v>
      </c>
      <c r="G42" s="6">
        <v>1</v>
      </c>
      <c r="H42" s="6">
        <v>0.75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 s="10" t="s">
        <v>52</v>
      </c>
    </row>
    <row r="43" spans="1:28" x14ac:dyDescent="0.3">
      <c r="A43" s="6" t="s">
        <v>831</v>
      </c>
      <c r="B43" s="6" t="s">
        <v>832</v>
      </c>
      <c r="C43" s="6" t="s">
        <v>833</v>
      </c>
      <c r="D43" s="6" t="s">
        <v>1089</v>
      </c>
      <c r="E43" s="7" t="s">
        <v>816</v>
      </c>
      <c r="F43" s="7" t="s">
        <v>975</v>
      </c>
      <c r="G43" s="6">
        <v>1</v>
      </c>
      <c r="H43" s="6">
        <v>0.75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 s="10" t="s">
        <v>52</v>
      </c>
    </row>
    <row r="44" spans="1:28" x14ac:dyDescent="0.3">
      <c r="A44" s="6" t="s">
        <v>834</v>
      </c>
      <c r="B44" s="6" t="s">
        <v>835</v>
      </c>
      <c r="C44" s="6" t="s">
        <v>836</v>
      </c>
      <c r="D44" s="6" t="s">
        <v>1090</v>
      </c>
      <c r="E44" s="7" t="s">
        <v>817</v>
      </c>
      <c r="F44" s="7" t="s">
        <v>976</v>
      </c>
      <c r="G44" s="6">
        <v>1</v>
      </c>
      <c r="H44" s="6">
        <v>0.75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 s="10" t="s">
        <v>52</v>
      </c>
    </row>
    <row r="45" spans="1:28" x14ac:dyDescent="0.3">
      <c r="A45" s="6" t="s">
        <v>837</v>
      </c>
      <c r="B45" s="6" t="s">
        <v>838</v>
      </c>
      <c r="C45" s="6" t="s">
        <v>839</v>
      </c>
      <c r="D45" s="6" t="s">
        <v>1091</v>
      </c>
      <c r="E45" s="7" t="s">
        <v>814</v>
      </c>
      <c r="F45" s="7" t="s">
        <v>977</v>
      </c>
      <c r="G45" s="6">
        <v>2</v>
      </c>
      <c r="H45" s="6">
        <v>1250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 s="10" t="s">
        <v>53</v>
      </c>
    </row>
    <row r="46" spans="1:28" x14ac:dyDescent="0.3">
      <c r="A46" s="6" t="s">
        <v>840</v>
      </c>
      <c r="B46" s="6" t="s">
        <v>841</v>
      </c>
      <c r="C46" s="6" t="s">
        <v>842</v>
      </c>
      <c r="D46" s="6" t="s">
        <v>1092</v>
      </c>
      <c r="E46" s="7" t="s">
        <v>818</v>
      </c>
      <c r="F46" s="7" t="s">
        <v>978</v>
      </c>
      <c r="G46" s="6">
        <v>1</v>
      </c>
      <c r="H46" s="6">
        <v>500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 s="10" t="s">
        <v>53</v>
      </c>
    </row>
    <row r="47" spans="1:28" x14ac:dyDescent="0.3">
      <c r="A47" s="6" t="s">
        <v>843</v>
      </c>
      <c r="B47" s="6" t="s">
        <v>844</v>
      </c>
      <c r="C47" s="6" t="s">
        <v>845</v>
      </c>
      <c r="D47" s="6" t="s">
        <v>1093</v>
      </c>
      <c r="E47" s="7" t="s">
        <v>819</v>
      </c>
      <c r="F47" s="7" t="s">
        <v>979</v>
      </c>
      <c r="G47" s="6">
        <v>1</v>
      </c>
      <c r="H47" s="6">
        <v>500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 s="10" t="s">
        <v>53</v>
      </c>
    </row>
    <row r="48" spans="1:28" x14ac:dyDescent="0.3">
      <c r="A48" s="6" t="s">
        <v>846</v>
      </c>
      <c r="B48" s="6" t="s">
        <v>847</v>
      </c>
      <c r="C48" s="6" t="s">
        <v>848</v>
      </c>
      <c r="D48" s="6" t="s">
        <v>1094</v>
      </c>
      <c r="E48" s="7" t="s">
        <v>820</v>
      </c>
      <c r="F48" s="7" t="s">
        <v>980</v>
      </c>
      <c r="G48" s="6">
        <v>2</v>
      </c>
      <c r="H48" s="6">
        <v>500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 s="10" t="s">
        <v>53</v>
      </c>
    </row>
    <row r="49" spans="1:20" x14ac:dyDescent="0.3">
      <c r="A49" s="6" t="s">
        <v>849</v>
      </c>
      <c r="B49" s="6" t="s">
        <v>850</v>
      </c>
      <c r="C49" s="6" t="s">
        <v>851</v>
      </c>
      <c r="D49" s="6" t="s">
        <v>1095</v>
      </c>
      <c r="E49" s="7" t="s">
        <v>821</v>
      </c>
      <c r="F49" s="7" t="s">
        <v>981</v>
      </c>
      <c r="G49" s="6">
        <v>2</v>
      </c>
      <c r="H49" s="6">
        <v>1000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 s="10" t="s">
        <v>53</v>
      </c>
    </row>
    <row r="50" spans="1:20" x14ac:dyDescent="0.3">
      <c r="A50" s="6" t="s">
        <v>852</v>
      </c>
      <c r="B50" s="6" t="s">
        <v>853</v>
      </c>
      <c r="C50" s="6" t="s">
        <v>854</v>
      </c>
      <c r="D50" s="6" t="s">
        <v>1096</v>
      </c>
      <c r="E50" s="7" t="s">
        <v>822</v>
      </c>
      <c r="F50" s="7" t="s">
        <v>982</v>
      </c>
      <c r="G50" s="6">
        <v>1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 s="10" t="s">
        <v>52</v>
      </c>
    </row>
    <row r="51" spans="1:20" x14ac:dyDescent="0.3">
      <c r="A51" s="6" t="s">
        <v>855</v>
      </c>
      <c r="B51" s="6" t="s">
        <v>856</v>
      </c>
      <c r="C51" s="6" t="s">
        <v>857</v>
      </c>
      <c r="D51" s="6" t="s">
        <v>1097</v>
      </c>
      <c r="E51" s="7" t="s">
        <v>823</v>
      </c>
      <c r="F51" s="7" t="s">
        <v>983</v>
      </c>
      <c r="G51" s="6">
        <v>1</v>
      </c>
      <c r="H51" s="6">
        <v>5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 s="10" t="s">
        <v>51</v>
      </c>
    </row>
    <row r="52" spans="1:20" x14ac:dyDescent="0.3">
      <c r="A52" s="6" t="s">
        <v>858</v>
      </c>
      <c r="B52" s="6" t="s">
        <v>859</v>
      </c>
      <c r="C52" s="6" t="s">
        <v>860</v>
      </c>
      <c r="D52" s="6" t="s">
        <v>1098</v>
      </c>
      <c r="E52" s="7" t="s">
        <v>824</v>
      </c>
      <c r="F52" s="7" t="s">
        <v>984</v>
      </c>
      <c r="G52" s="6">
        <v>2</v>
      </c>
      <c r="H52" s="6">
        <v>25</v>
      </c>
      <c r="I52" s="6">
        <v>0.25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 s="10" t="s">
        <v>51</v>
      </c>
      <c r="T52" s="10" t="s">
        <v>52</v>
      </c>
    </row>
    <row r="53" spans="1:20" x14ac:dyDescent="0.3">
      <c r="A53" s="6" t="s">
        <v>861</v>
      </c>
      <c r="B53" s="6" t="s">
        <v>862</v>
      </c>
      <c r="C53" s="6" t="s">
        <v>863</v>
      </c>
      <c r="D53" s="6" t="s">
        <v>1099</v>
      </c>
      <c r="E53" s="7" t="s">
        <v>825</v>
      </c>
      <c r="F53" s="7" t="s">
        <v>984</v>
      </c>
      <c r="G53" s="6">
        <v>2</v>
      </c>
      <c r="H53" s="6">
        <v>25</v>
      </c>
      <c r="I53" s="6">
        <v>0.25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 s="10" t="s">
        <v>51</v>
      </c>
      <c r="T53" s="10" t="s">
        <v>52</v>
      </c>
    </row>
    <row r="54" spans="1:20" x14ac:dyDescent="0.3">
      <c r="A54" s="6" t="s">
        <v>864</v>
      </c>
      <c r="B54" s="6" t="s">
        <v>865</v>
      </c>
      <c r="C54" s="6" t="s">
        <v>866</v>
      </c>
      <c r="D54" s="6" t="s">
        <v>1100</v>
      </c>
      <c r="E54" s="7" t="s">
        <v>826</v>
      </c>
      <c r="F54" s="7" t="s">
        <v>985</v>
      </c>
      <c r="G54" s="6">
        <v>2</v>
      </c>
      <c r="H54" s="6">
        <v>50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 s="10" t="s">
        <v>51</v>
      </c>
    </row>
    <row r="55" spans="1:20" x14ac:dyDescent="0.3">
      <c r="A55" s="6" t="s">
        <v>867</v>
      </c>
      <c r="B55" s="6" t="s">
        <v>868</v>
      </c>
      <c r="C55" s="6" t="s">
        <v>869</v>
      </c>
      <c r="D55" s="6" t="s">
        <v>1101</v>
      </c>
      <c r="E55" s="7" t="s">
        <v>827</v>
      </c>
      <c r="F55" s="7" t="s">
        <v>987</v>
      </c>
      <c r="G55" s="6">
        <v>2</v>
      </c>
      <c r="H55" s="6">
        <v>0.5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 s="10" t="s">
        <v>52</v>
      </c>
    </row>
    <row r="56" spans="1:20" x14ac:dyDescent="0.3">
      <c r="A56" s="6" t="s">
        <v>892</v>
      </c>
      <c r="B56" s="6" t="s">
        <v>893</v>
      </c>
      <c r="C56" s="6" t="s">
        <v>894</v>
      </c>
      <c r="D56" s="6" t="s">
        <v>1102</v>
      </c>
      <c r="E56" s="7" t="s">
        <v>870</v>
      </c>
      <c r="F56" s="7" t="s">
        <v>986</v>
      </c>
      <c r="G56" s="6">
        <v>2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 s="10" t="s">
        <v>53</v>
      </c>
    </row>
    <row r="57" spans="1:20" x14ac:dyDescent="0.3">
      <c r="A57" s="6" t="s">
        <v>895</v>
      </c>
      <c r="B57" s="6" t="s">
        <v>896</v>
      </c>
      <c r="C57" s="6" t="s">
        <v>897</v>
      </c>
      <c r="D57" s="6" t="s">
        <v>1103</v>
      </c>
      <c r="E57" s="7" t="s">
        <v>871</v>
      </c>
      <c r="F57" s="7" t="s">
        <v>988</v>
      </c>
      <c r="G57" s="6">
        <v>2</v>
      </c>
      <c r="H57" s="6">
        <v>1250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 s="10" t="s">
        <v>53</v>
      </c>
    </row>
    <row r="58" spans="1:20" x14ac:dyDescent="0.3">
      <c r="A58" s="6" t="s">
        <v>898</v>
      </c>
      <c r="B58" s="6" t="s">
        <v>899</v>
      </c>
      <c r="C58" s="6" t="s">
        <v>900</v>
      </c>
      <c r="D58" s="6" t="s">
        <v>1104</v>
      </c>
      <c r="E58" s="7" t="s">
        <v>872</v>
      </c>
      <c r="F58" s="7" t="s">
        <v>996</v>
      </c>
      <c r="G58" s="6">
        <v>1</v>
      </c>
      <c r="H58" s="6">
        <v>500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 s="10" t="s">
        <v>53</v>
      </c>
    </row>
    <row r="59" spans="1:20" x14ac:dyDescent="0.3">
      <c r="A59" s="6" t="s">
        <v>901</v>
      </c>
      <c r="B59" s="6" t="s">
        <v>902</v>
      </c>
      <c r="C59" s="6" t="s">
        <v>903</v>
      </c>
      <c r="D59" s="6" t="s">
        <v>1105</v>
      </c>
      <c r="E59" s="7" t="s">
        <v>873</v>
      </c>
      <c r="F59" s="7" t="s">
        <v>989</v>
      </c>
      <c r="G59" s="6">
        <v>1</v>
      </c>
      <c r="H59" s="6">
        <v>0.1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 s="10" t="s">
        <v>52</v>
      </c>
    </row>
    <row r="60" spans="1:20" x14ac:dyDescent="0.3">
      <c r="A60" s="6" t="s">
        <v>904</v>
      </c>
      <c r="B60" s="6" t="s">
        <v>905</v>
      </c>
      <c r="C60" s="6" t="s">
        <v>906</v>
      </c>
      <c r="D60" s="6" t="s">
        <v>1106</v>
      </c>
      <c r="E60" s="7" t="s">
        <v>874</v>
      </c>
      <c r="F60" s="7" t="s">
        <v>990</v>
      </c>
      <c r="G60" s="6">
        <v>1</v>
      </c>
      <c r="H60" s="6">
        <v>10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 s="10" t="s">
        <v>51</v>
      </c>
    </row>
    <row r="61" spans="1:20" x14ac:dyDescent="0.3">
      <c r="A61" s="6" t="s">
        <v>907</v>
      </c>
      <c r="B61" s="6" t="s">
        <v>908</v>
      </c>
      <c r="C61" s="6" t="s">
        <v>909</v>
      </c>
      <c r="D61" s="6" t="s">
        <v>1107</v>
      </c>
      <c r="E61" s="7" t="s">
        <v>878</v>
      </c>
      <c r="F61" s="7" t="s">
        <v>991</v>
      </c>
      <c r="G61" s="6">
        <v>1</v>
      </c>
      <c r="H61" s="6">
        <v>0.05</v>
      </c>
      <c r="I61" s="6">
        <v>2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 s="10" t="s">
        <v>52</v>
      </c>
      <c r="T61" s="10" t="s">
        <v>52</v>
      </c>
    </row>
    <row r="62" spans="1:20" x14ac:dyDescent="0.3">
      <c r="A62" s="6" t="s">
        <v>910</v>
      </c>
      <c r="B62" s="6" t="s">
        <v>911</v>
      </c>
      <c r="C62" s="6" t="s">
        <v>912</v>
      </c>
      <c r="D62" s="6" t="s">
        <v>1108</v>
      </c>
      <c r="E62" s="7" t="s">
        <v>875</v>
      </c>
      <c r="F62" s="7" t="s">
        <v>992</v>
      </c>
      <c r="G62" s="6">
        <v>1</v>
      </c>
      <c r="H62" s="6">
        <v>0.5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 s="10" t="s">
        <v>52</v>
      </c>
    </row>
    <row r="63" spans="1:20" x14ac:dyDescent="0.3">
      <c r="A63" s="6" t="s">
        <v>913</v>
      </c>
      <c r="B63" s="6" t="s">
        <v>914</v>
      </c>
      <c r="C63" s="6" t="s">
        <v>915</v>
      </c>
      <c r="D63" s="6" t="s">
        <v>1109</v>
      </c>
      <c r="E63" s="7" t="s">
        <v>876</v>
      </c>
      <c r="F63" s="7" t="s">
        <v>879</v>
      </c>
      <c r="G63" s="6">
        <v>2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</row>
    <row r="64" spans="1:20" x14ac:dyDescent="0.3">
      <c r="A64" s="6" t="s">
        <v>916</v>
      </c>
      <c r="B64" s="6" t="s">
        <v>917</v>
      </c>
      <c r="C64" s="6" t="s">
        <v>918</v>
      </c>
      <c r="D64" s="6" t="s">
        <v>1110</v>
      </c>
      <c r="E64" s="7" t="s">
        <v>877</v>
      </c>
      <c r="F64" s="7" t="s">
        <v>993</v>
      </c>
      <c r="G64" s="6">
        <v>2</v>
      </c>
      <c r="H64" s="6">
        <v>50</v>
      </c>
      <c r="I64" s="6">
        <v>0.5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 s="10" t="s">
        <v>51</v>
      </c>
      <c r="T64" s="10" t="s">
        <v>52</v>
      </c>
    </row>
    <row r="65" spans="1:20" x14ac:dyDescent="0.3">
      <c r="A65" s="6" t="s">
        <v>919</v>
      </c>
      <c r="B65" s="6" t="s">
        <v>920</v>
      </c>
      <c r="C65" s="6" t="s">
        <v>921</v>
      </c>
      <c r="D65" s="6" t="s">
        <v>1111</v>
      </c>
      <c r="E65" s="7" t="s">
        <v>880</v>
      </c>
      <c r="F65" s="7" t="s">
        <v>994</v>
      </c>
      <c r="G65" s="6">
        <v>1</v>
      </c>
      <c r="H65" s="6">
        <v>1250</v>
      </c>
      <c r="I65" s="6">
        <v>1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 s="10" t="s">
        <v>53</v>
      </c>
      <c r="T65" s="10" t="s">
        <v>569</v>
      </c>
    </row>
    <row r="66" spans="1:20" x14ac:dyDescent="0.3">
      <c r="A66" s="6" t="s">
        <v>922</v>
      </c>
      <c r="B66" s="6" t="s">
        <v>923</v>
      </c>
      <c r="C66" s="6" t="s">
        <v>924</v>
      </c>
      <c r="D66" s="6" t="s">
        <v>1112</v>
      </c>
      <c r="E66" s="7" t="s">
        <v>881</v>
      </c>
      <c r="F66" s="7" t="s">
        <v>995</v>
      </c>
      <c r="G66" s="6">
        <v>2</v>
      </c>
      <c r="H66" s="6">
        <v>8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 s="10" t="s">
        <v>574</v>
      </c>
    </row>
    <row r="67" spans="1:20" x14ac:dyDescent="0.3">
      <c r="A67" s="6" t="s">
        <v>925</v>
      </c>
      <c r="B67" s="6" t="s">
        <v>926</v>
      </c>
      <c r="C67" s="6" t="s">
        <v>927</v>
      </c>
      <c r="D67" s="6" t="s">
        <v>1113</v>
      </c>
      <c r="E67" s="7" t="s">
        <v>882</v>
      </c>
      <c r="F67" s="7" t="s">
        <v>997</v>
      </c>
      <c r="G67" s="6">
        <v>2</v>
      </c>
      <c r="H67" s="6">
        <v>1000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 s="10" t="s">
        <v>53</v>
      </c>
    </row>
    <row r="68" spans="1:20" x14ac:dyDescent="0.3">
      <c r="A68" s="6" t="s">
        <v>928</v>
      </c>
      <c r="B68" s="6" t="s">
        <v>929</v>
      </c>
      <c r="C68" s="6" t="s">
        <v>930</v>
      </c>
      <c r="D68" s="6" t="s">
        <v>1114</v>
      </c>
      <c r="E68" s="7" t="s">
        <v>883</v>
      </c>
      <c r="F68" s="7" t="s">
        <v>891</v>
      </c>
      <c r="G68" s="6">
        <v>2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</row>
    <row r="69" spans="1:20" x14ac:dyDescent="0.3">
      <c r="A69" s="6" t="s">
        <v>931</v>
      </c>
      <c r="B69" s="6" t="s">
        <v>932</v>
      </c>
      <c r="C69" s="6" t="s">
        <v>933</v>
      </c>
      <c r="D69" s="6" t="s">
        <v>1115</v>
      </c>
      <c r="E69" s="7" t="s">
        <v>884</v>
      </c>
      <c r="F69" s="7" t="s">
        <v>998</v>
      </c>
      <c r="G69" s="6">
        <v>1</v>
      </c>
      <c r="H69" s="6">
        <v>100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 s="10" t="s">
        <v>51</v>
      </c>
    </row>
    <row r="70" spans="1:20" x14ac:dyDescent="0.3">
      <c r="A70" s="6" t="s">
        <v>934</v>
      </c>
      <c r="B70" s="6" t="s">
        <v>935</v>
      </c>
      <c r="C70" s="6" t="s">
        <v>936</v>
      </c>
      <c r="D70" s="6" t="s">
        <v>1116</v>
      </c>
      <c r="E70" s="7" t="s">
        <v>885</v>
      </c>
      <c r="F70" s="7" t="s">
        <v>999</v>
      </c>
      <c r="G70" s="6">
        <v>1</v>
      </c>
      <c r="H70" s="6">
        <v>0.2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 s="10" t="s">
        <v>52</v>
      </c>
    </row>
    <row r="71" spans="1:20" x14ac:dyDescent="0.3">
      <c r="A71" s="6" t="s">
        <v>937</v>
      </c>
      <c r="B71" s="6" t="s">
        <v>938</v>
      </c>
      <c r="C71" s="6" t="s">
        <v>939</v>
      </c>
      <c r="D71" s="6" t="s">
        <v>1117</v>
      </c>
      <c r="E71" s="7" t="s">
        <v>886</v>
      </c>
      <c r="F71" s="7" t="s">
        <v>1000</v>
      </c>
      <c r="G71" s="6">
        <v>1</v>
      </c>
      <c r="H71" s="6">
        <v>0.1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 s="10" t="s">
        <v>52</v>
      </c>
    </row>
    <row r="72" spans="1:20" x14ac:dyDescent="0.3">
      <c r="A72" s="6" t="s">
        <v>940</v>
      </c>
      <c r="B72" s="6" t="s">
        <v>941</v>
      </c>
      <c r="C72" s="6" t="s">
        <v>942</v>
      </c>
      <c r="D72" s="6" t="s">
        <v>1118</v>
      </c>
      <c r="E72" s="7" t="s">
        <v>887</v>
      </c>
      <c r="F72" s="7" t="s">
        <v>1001</v>
      </c>
      <c r="G72" s="6">
        <v>2</v>
      </c>
      <c r="H72" s="6">
        <v>2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 s="10" t="s">
        <v>1002</v>
      </c>
    </row>
    <row r="73" spans="1:20" x14ac:dyDescent="0.3">
      <c r="A73" s="6" t="s">
        <v>943</v>
      </c>
      <c r="B73" s="6" t="s">
        <v>944</v>
      </c>
      <c r="C73" s="6" t="s">
        <v>945</v>
      </c>
      <c r="D73" s="6" t="s">
        <v>1119</v>
      </c>
      <c r="E73" s="7" t="s">
        <v>888</v>
      </c>
      <c r="F73" s="7" t="s">
        <v>890</v>
      </c>
      <c r="G73" s="6">
        <v>2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</row>
    <row r="74" spans="1:20" x14ac:dyDescent="0.3">
      <c r="A74" s="6" t="s">
        <v>946</v>
      </c>
      <c r="B74" s="6" t="s">
        <v>947</v>
      </c>
      <c r="C74" s="6" t="s">
        <v>948</v>
      </c>
      <c r="D74" s="6" t="s">
        <v>1120</v>
      </c>
      <c r="E74" s="7" t="s">
        <v>889</v>
      </c>
      <c r="F74" s="7" t="s">
        <v>1003</v>
      </c>
      <c r="G74" s="6">
        <v>2</v>
      </c>
      <c r="H74" s="6">
        <v>50</v>
      </c>
      <c r="I74" s="6">
        <v>0.5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 s="10" t="s">
        <v>51</v>
      </c>
      <c r="T74" s="10" t="s">
        <v>52</v>
      </c>
    </row>
    <row r="75" spans="1:20" x14ac:dyDescent="0.3">
      <c r="A75" s="6" t="s">
        <v>955</v>
      </c>
      <c r="B75" s="6" t="s">
        <v>956</v>
      </c>
      <c r="C75" s="6" t="s">
        <v>957</v>
      </c>
      <c r="D75" s="6" t="s">
        <v>1121</v>
      </c>
      <c r="E75" s="7" t="s">
        <v>949</v>
      </c>
      <c r="F75" s="7" t="s">
        <v>1004</v>
      </c>
      <c r="G75" s="6">
        <v>2</v>
      </c>
      <c r="H75" s="6">
        <v>1</v>
      </c>
      <c r="I75" s="6">
        <v>2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S75" s="10" t="s">
        <v>569</v>
      </c>
      <c r="T75" s="10" t="s">
        <v>569</v>
      </c>
    </row>
    <row r="76" spans="1:20" x14ac:dyDescent="0.3">
      <c r="A76" s="6" t="s">
        <v>958</v>
      </c>
      <c r="B76" s="6" t="s">
        <v>959</v>
      </c>
      <c r="C76" s="6" t="s">
        <v>960</v>
      </c>
      <c r="D76" s="6" t="s">
        <v>1122</v>
      </c>
      <c r="E76" s="7" t="s">
        <v>950</v>
      </c>
      <c r="F76" s="7" t="s">
        <v>1005</v>
      </c>
      <c r="G76" s="6">
        <v>2</v>
      </c>
      <c r="H76" s="6">
        <v>3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S76" s="10" t="s">
        <v>574</v>
      </c>
    </row>
    <row r="77" spans="1:20" x14ac:dyDescent="0.3">
      <c r="A77" s="6" t="s">
        <v>961</v>
      </c>
      <c r="B77" s="6" t="s">
        <v>962</v>
      </c>
      <c r="C77" s="6" t="s">
        <v>963</v>
      </c>
      <c r="D77" s="6" t="s">
        <v>1123</v>
      </c>
      <c r="E77" s="7" t="s">
        <v>951</v>
      </c>
      <c r="F77" s="7" t="s">
        <v>1006</v>
      </c>
      <c r="G77" s="6">
        <v>1</v>
      </c>
      <c r="H77" s="6">
        <v>3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S77" s="10" t="s">
        <v>52</v>
      </c>
    </row>
    <row r="78" spans="1:20" x14ac:dyDescent="0.3">
      <c r="A78" s="6" t="s">
        <v>964</v>
      </c>
      <c r="B78" s="6" t="s">
        <v>965</v>
      </c>
      <c r="C78" s="6" t="s">
        <v>966</v>
      </c>
      <c r="D78" s="6" t="s">
        <v>1124</v>
      </c>
      <c r="E78" s="7" t="s">
        <v>952</v>
      </c>
      <c r="F78" s="7" t="s">
        <v>973</v>
      </c>
      <c r="G78" s="6">
        <v>1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</row>
    <row r="79" spans="1:20" x14ac:dyDescent="0.3">
      <c r="A79" s="6" t="s">
        <v>967</v>
      </c>
      <c r="B79" s="6" t="s">
        <v>968</v>
      </c>
      <c r="C79" s="6" t="s">
        <v>969</v>
      </c>
      <c r="D79" s="6" t="s">
        <v>1125</v>
      </c>
      <c r="E79" s="7" t="s">
        <v>953</v>
      </c>
      <c r="F79" s="7" t="s">
        <v>1007</v>
      </c>
      <c r="G79" s="6">
        <v>1</v>
      </c>
      <c r="H79" s="6">
        <v>0</v>
      </c>
      <c r="I79" s="6">
        <v>3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S79" s="10" t="s">
        <v>52</v>
      </c>
      <c r="T79" s="10" t="s">
        <v>52</v>
      </c>
    </row>
    <row r="80" spans="1:20" x14ac:dyDescent="0.3">
      <c r="A80" s="6" t="s">
        <v>970</v>
      </c>
      <c r="B80" s="6" t="s">
        <v>971</v>
      </c>
      <c r="C80" s="6" t="s">
        <v>972</v>
      </c>
      <c r="D80" s="6" t="s">
        <v>1126</v>
      </c>
      <c r="E80" s="7" t="s">
        <v>954</v>
      </c>
      <c r="F80" s="7" t="s">
        <v>1008</v>
      </c>
      <c r="G80" s="6">
        <v>3</v>
      </c>
      <c r="H80" s="6">
        <v>300</v>
      </c>
      <c r="I80" s="6">
        <v>2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S80" s="10" t="s">
        <v>51</v>
      </c>
      <c r="T80" s="10" t="s">
        <v>52</v>
      </c>
    </row>
  </sheetData>
  <mergeCells count="1">
    <mergeCell ref="AD2:AF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W36"/>
  <sheetViews>
    <sheetView workbookViewId="0">
      <selection activeCell="B4" sqref="B4"/>
    </sheetView>
  </sheetViews>
  <sheetFormatPr defaultRowHeight="12" x14ac:dyDescent="0.3"/>
  <cols>
    <col min="1" max="1" width="9" style="3"/>
    <col min="2" max="2" width="80.875" style="26" bestFit="1" customWidth="1"/>
    <col min="3" max="12" width="9" style="3"/>
    <col min="13" max="13" width="2.875" style="17" customWidth="1"/>
    <col min="14" max="14" width="21.25" style="10" bestFit="1" customWidth="1"/>
    <col min="15" max="15" width="18.375" style="10" bestFit="1" customWidth="1"/>
    <col min="16" max="22" width="13.125" style="10" bestFit="1" customWidth="1"/>
    <col min="23" max="23" width="14.125" style="10" bestFit="1" customWidth="1"/>
    <col min="24" max="16384" width="9" style="1"/>
  </cols>
  <sheetData>
    <row r="1" spans="1:23" s="11" customFormat="1" x14ac:dyDescent="0.3">
      <c r="A1" s="2" t="s">
        <v>92</v>
      </c>
      <c r="B1" s="25" t="s">
        <v>21</v>
      </c>
      <c r="C1" s="2" t="s">
        <v>131</v>
      </c>
      <c r="D1" s="2" t="s">
        <v>132</v>
      </c>
      <c r="E1" s="2" t="s">
        <v>133</v>
      </c>
      <c r="F1" s="2" t="s">
        <v>134</v>
      </c>
      <c r="G1" s="2" t="s">
        <v>135</v>
      </c>
      <c r="H1" s="2" t="s">
        <v>136</v>
      </c>
      <c r="I1" s="2" t="s">
        <v>137</v>
      </c>
      <c r="J1" s="2" t="s">
        <v>138</v>
      </c>
      <c r="K1" s="2" t="s">
        <v>139</v>
      </c>
      <c r="L1" s="2" t="s">
        <v>20</v>
      </c>
      <c r="M1" s="12"/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16</v>
      </c>
      <c r="T1" s="9" t="s">
        <v>17</v>
      </c>
      <c r="U1" s="9" t="s">
        <v>18</v>
      </c>
      <c r="V1" s="9" t="s">
        <v>19</v>
      </c>
      <c r="W1" s="9" t="s">
        <v>20</v>
      </c>
    </row>
    <row r="2" spans="1:23" x14ac:dyDescent="0.3">
      <c r="A2" s="3">
        <v>101</v>
      </c>
      <c r="B2" s="26" t="s">
        <v>648</v>
      </c>
      <c r="C2" s="3">
        <v>5</v>
      </c>
      <c r="D2" s="3">
        <v>3300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N2" s="10" t="s">
        <v>649</v>
      </c>
      <c r="O2" s="10" t="s">
        <v>650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</row>
    <row r="3" spans="1:23" x14ac:dyDescent="0.3">
      <c r="A3" s="3">
        <v>102</v>
      </c>
      <c r="B3" s="26" t="s">
        <v>648</v>
      </c>
      <c r="C3" s="3">
        <v>7</v>
      </c>
      <c r="D3" s="3">
        <v>5000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N3" s="10" t="s">
        <v>649</v>
      </c>
      <c r="O3" s="10" t="s">
        <v>650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</row>
    <row r="4" spans="1:23" x14ac:dyDescent="0.3">
      <c r="A4" s="3">
        <v>103</v>
      </c>
      <c r="B4" s="26" t="s">
        <v>651</v>
      </c>
      <c r="C4" s="3">
        <v>10000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N4" s="10" t="s">
        <v>652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</row>
    <row r="5" spans="1:23" x14ac:dyDescent="0.3">
      <c r="A5" s="3">
        <v>104</v>
      </c>
      <c r="B5" s="26" t="s">
        <v>653</v>
      </c>
      <c r="C5" s="3">
        <v>10000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N5" s="10" t="s">
        <v>654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</row>
    <row r="6" spans="1:23" x14ac:dyDescent="0.3">
      <c r="A6" s="3">
        <v>105</v>
      </c>
      <c r="B6" s="26" t="s">
        <v>655</v>
      </c>
      <c r="C6" s="3">
        <v>1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N6" s="10" t="s">
        <v>656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</row>
    <row r="7" spans="1:23" x14ac:dyDescent="0.3">
      <c r="A7" s="3">
        <v>106</v>
      </c>
      <c r="B7" s="26" t="s">
        <v>657</v>
      </c>
      <c r="C7" s="3">
        <v>7</v>
      </c>
      <c r="D7" s="3">
        <v>2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N7" s="10" t="s">
        <v>658</v>
      </c>
      <c r="O7" s="10" t="s">
        <v>659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3">
      <c r="A8" s="3">
        <v>107</v>
      </c>
      <c r="B8" s="26" t="s">
        <v>660</v>
      </c>
      <c r="C8" s="3">
        <v>2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N8" s="10" t="s">
        <v>656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</row>
    <row r="9" spans="1:23" x14ac:dyDescent="0.3">
      <c r="A9" s="3">
        <v>108</v>
      </c>
      <c r="B9" s="26" t="s">
        <v>661</v>
      </c>
      <c r="C9" s="3">
        <v>2</v>
      </c>
      <c r="D9" s="3">
        <v>10000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N9" s="10" t="s">
        <v>662</v>
      </c>
      <c r="O9" s="10" t="s">
        <v>650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</row>
    <row r="10" spans="1:23" x14ac:dyDescent="0.3">
      <c r="A10" s="3">
        <v>109</v>
      </c>
      <c r="B10" s="26" t="s">
        <v>663</v>
      </c>
      <c r="C10" s="3">
        <v>4</v>
      </c>
      <c r="D10" s="3">
        <v>10000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N10" s="10" t="s">
        <v>662</v>
      </c>
      <c r="O10" s="10" t="s">
        <v>650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</row>
    <row r="11" spans="1:23" x14ac:dyDescent="0.3">
      <c r="A11" s="3">
        <v>110</v>
      </c>
      <c r="B11" s="26" t="s">
        <v>664</v>
      </c>
      <c r="C11" s="3">
        <v>3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N11" s="10" t="s">
        <v>668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</row>
    <row r="12" spans="1:23" x14ac:dyDescent="0.3">
      <c r="A12" s="3">
        <v>111</v>
      </c>
      <c r="B12" s="26" t="s">
        <v>665</v>
      </c>
      <c r="C12" s="3">
        <v>1</v>
      </c>
      <c r="D12" s="3">
        <v>2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N12" s="10" t="s">
        <v>669</v>
      </c>
      <c r="O12" s="10" t="s">
        <v>656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</row>
    <row r="13" spans="1:23" x14ac:dyDescent="0.3">
      <c r="A13" s="3">
        <v>112</v>
      </c>
      <c r="B13" s="26" t="s">
        <v>666</v>
      </c>
      <c r="C13" s="3">
        <v>5</v>
      </c>
      <c r="D13" s="3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N13" s="10" t="s">
        <v>668</v>
      </c>
      <c r="O13" s="10" t="s">
        <v>670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</row>
    <row r="14" spans="1:23" x14ac:dyDescent="0.3">
      <c r="A14" s="3">
        <v>113</v>
      </c>
      <c r="B14" s="26" t="s">
        <v>667</v>
      </c>
      <c r="C14" s="3">
        <v>3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N14" s="10" t="s">
        <v>668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</row>
    <row r="15" spans="1:23" x14ac:dyDescent="0.3">
      <c r="A15" s="3">
        <v>114</v>
      </c>
      <c r="B15" s="26" t="s">
        <v>665</v>
      </c>
      <c r="C15" s="3">
        <v>1</v>
      </c>
      <c r="D15" s="3">
        <v>5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N15" s="10" t="s">
        <v>669</v>
      </c>
      <c r="O15" s="10" t="s">
        <v>656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</row>
    <row r="16" spans="1:23" x14ac:dyDescent="0.3">
      <c r="A16" s="3">
        <v>115</v>
      </c>
      <c r="B16" s="26" t="s">
        <v>666</v>
      </c>
      <c r="C16" s="3">
        <v>5</v>
      </c>
      <c r="D16" s="3">
        <v>2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N16" s="10" t="s">
        <v>668</v>
      </c>
      <c r="O16" s="10" t="s">
        <v>670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</row>
    <row r="17" spans="1:23" x14ac:dyDescent="0.3">
      <c r="A17" s="3">
        <v>116</v>
      </c>
      <c r="B17" s="26" t="s">
        <v>785</v>
      </c>
      <c r="C17" s="3">
        <v>5000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N17" s="10" t="s">
        <v>791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</row>
    <row r="18" spans="1:23" x14ac:dyDescent="0.3">
      <c r="A18" s="3">
        <v>117</v>
      </c>
      <c r="B18" s="26" t="s">
        <v>786</v>
      </c>
      <c r="C18" s="3">
        <v>1000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N18" s="10" t="s">
        <v>792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</row>
    <row r="19" spans="1:23" x14ac:dyDescent="0.3">
      <c r="A19" s="3">
        <v>118</v>
      </c>
      <c r="B19" s="26" t="s">
        <v>787</v>
      </c>
      <c r="C19" s="3">
        <v>1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N19" s="10" t="s">
        <v>670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</row>
    <row r="20" spans="1:23" x14ac:dyDescent="0.3">
      <c r="A20" s="3">
        <v>119</v>
      </c>
      <c r="B20" s="26" t="s">
        <v>788</v>
      </c>
      <c r="C20" s="3">
        <v>1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N20" s="10" t="s">
        <v>793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</row>
    <row r="21" spans="1:23" x14ac:dyDescent="0.3">
      <c r="A21" s="3">
        <v>120</v>
      </c>
      <c r="B21" s="26" t="s">
        <v>789</v>
      </c>
      <c r="C21" s="3">
        <v>10000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N21" s="10" t="s">
        <v>650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</row>
    <row r="22" spans="1:23" x14ac:dyDescent="0.3">
      <c r="A22" s="3">
        <v>121</v>
      </c>
      <c r="B22" s="26" t="s">
        <v>790</v>
      </c>
      <c r="C22" s="3">
        <v>10000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N22" s="10" t="s">
        <v>650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</row>
    <row r="23" spans="1:23" x14ac:dyDescent="0.3">
      <c r="A23" s="3">
        <v>123</v>
      </c>
      <c r="B23" s="26" t="s">
        <v>1357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</row>
    <row r="24" spans="1:23" x14ac:dyDescent="0.3">
      <c r="A24" s="3">
        <v>124</v>
      </c>
      <c r="B24" s="26" t="s">
        <v>1358</v>
      </c>
      <c r="C24" s="3">
        <v>1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N24" s="10" t="s">
        <v>656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</row>
    <row r="25" spans="1:23" x14ac:dyDescent="0.3"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</row>
    <row r="26" spans="1:23" x14ac:dyDescent="0.3"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</row>
    <row r="27" spans="1:23" x14ac:dyDescent="0.3"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</row>
    <row r="28" spans="1:23" x14ac:dyDescent="0.3"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</row>
    <row r="29" spans="1:23" x14ac:dyDescent="0.3"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</row>
    <row r="30" spans="1:23" x14ac:dyDescent="0.3"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</row>
    <row r="31" spans="1:23" x14ac:dyDescent="0.3"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</row>
    <row r="32" spans="1:23" x14ac:dyDescent="0.3"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</row>
    <row r="33" spans="14:23" x14ac:dyDescent="0.3"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</row>
    <row r="34" spans="14:23" x14ac:dyDescent="0.3"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</row>
    <row r="35" spans="14:23" x14ac:dyDescent="0.3"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</row>
    <row r="36" spans="14:23" x14ac:dyDescent="0.3"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AB11"/>
  <sheetViews>
    <sheetView workbookViewId="0">
      <selection activeCell="G32" sqref="G32"/>
    </sheetView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16.5" style="3" bestFit="1" customWidth="1"/>
    <col min="6" max="6" width="9" style="26"/>
    <col min="7" max="7" width="71.875" style="26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9" width="20" style="3" bestFit="1" customWidth="1"/>
    <col min="20" max="20" width="19.375" style="3" bestFit="1" customWidth="1"/>
    <col min="21" max="28" width="9" style="3"/>
    <col min="29" max="16384" width="9" style="1"/>
  </cols>
  <sheetData>
    <row r="1" spans="1:28" s="11" customFormat="1" x14ac:dyDescent="0.3">
      <c r="A1" s="2" t="s">
        <v>92</v>
      </c>
      <c r="B1" s="2" t="s">
        <v>671</v>
      </c>
      <c r="C1" s="2" t="s">
        <v>672</v>
      </c>
      <c r="D1" s="2" t="s">
        <v>673</v>
      </c>
      <c r="E1" s="2" t="s">
        <v>695</v>
      </c>
      <c r="F1" s="25" t="s">
        <v>10</v>
      </c>
      <c r="G1" s="25" t="s">
        <v>21</v>
      </c>
      <c r="H1" s="2" t="s">
        <v>131</v>
      </c>
      <c r="I1" s="2" t="s">
        <v>132</v>
      </c>
      <c r="J1" s="2" t="s">
        <v>133</v>
      </c>
      <c r="K1" s="2" t="s">
        <v>134</v>
      </c>
      <c r="L1" s="2" t="s">
        <v>135</v>
      </c>
      <c r="M1" s="2" t="s">
        <v>136</v>
      </c>
      <c r="N1" s="2" t="s">
        <v>137</v>
      </c>
      <c r="O1" s="2" t="s">
        <v>138</v>
      </c>
      <c r="P1" s="2" t="s">
        <v>139</v>
      </c>
      <c r="Q1" s="2" t="s">
        <v>20</v>
      </c>
      <c r="R1" s="12"/>
      <c r="S1" s="2" t="s">
        <v>131</v>
      </c>
      <c r="T1" s="2" t="s">
        <v>132</v>
      </c>
      <c r="U1" s="2" t="s">
        <v>133</v>
      </c>
      <c r="V1" s="2" t="s">
        <v>134</v>
      </c>
      <c r="W1" s="2" t="s">
        <v>135</v>
      </c>
      <c r="X1" s="2" t="s">
        <v>136</v>
      </c>
      <c r="Y1" s="2" t="s">
        <v>137</v>
      </c>
      <c r="Z1" s="2" t="s">
        <v>138</v>
      </c>
      <c r="AA1" s="2" t="s">
        <v>139</v>
      </c>
      <c r="AB1" s="2" t="s">
        <v>20</v>
      </c>
    </row>
    <row r="2" spans="1:28" x14ac:dyDescent="0.3">
      <c r="A2" s="3">
        <v>1</v>
      </c>
      <c r="B2" s="3">
        <v>1</v>
      </c>
      <c r="C2" s="3" t="s">
        <v>684</v>
      </c>
      <c r="D2" s="3" t="s">
        <v>674</v>
      </c>
      <c r="E2" s="3" t="s">
        <v>1356</v>
      </c>
      <c r="F2" s="26" t="s">
        <v>550</v>
      </c>
      <c r="G2" s="26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</row>
    <row r="3" spans="1:28" x14ac:dyDescent="0.3">
      <c r="A3" s="3">
        <v>2</v>
      </c>
      <c r="B3" s="3">
        <v>2</v>
      </c>
      <c r="C3" s="3" t="s">
        <v>685</v>
      </c>
      <c r="D3" s="3" t="s">
        <v>675</v>
      </c>
      <c r="E3" s="3">
        <v>0</v>
      </c>
      <c r="F3" s="26">
        <v>0</v>
      </c>
      <c r="G3" s="26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3">
        <v>3</v>
      </c>
      <c r="B4" s="3">
        <v>4</v>
      </c>
      <c r="C4" s="3" t="s">
        <v>686</v>
      </c>
      <c r="D4" s="3" t="s">
        <v>676</v>
      </c>
      <c r="E4" s="3" t="s">
        <v>1352</v>
      </c>
      <c r="F4" s="26" t="s">
        <v>334</v>
      </c>
      <c r="G4" s="26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</row>
    <row r="5" spans="1:28" x14ac:dyDescent="0.3">
      <c r="A5" s="3">
        <v>4</v>
      </c>
      <c r="B5" s="3">
        <v>8</v>
      </c>
      <c r="C5" s="3" t="s">
        <v>687</v>
      </c>
      <c r="D5" s="3" t="s">
        <v>677</v>
      </c>
      <c r="E5" s="3" t="s">
        <v>1349</v>
      </c>
      <c r="F5" s="26" t="s">
        <v>335</v>
      </c>
      <c r="G5" s="26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 s="3">
        <v>5</v>
      </c>
      <c r="B6" s="3">
        <v>16</v>
      </c>
      <c r="C6" s="3" t="s">
        <v>688</v>
      </c>
      <c r="D6" s="3" t="s">
        <v>678</v>
      </c>
      <c r="E6" s="3" t="s">
        <v>1351</v>
      </c>
      <c r="F6" s="26" t="s">
        <v>336</v>
      </c>
      <c r="G6" s="26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3">
      <c r="A7" s="3">
        <v>6</v>
      </c>
      <c r="B7" s="3">
        <v>32</v>
      </c>
      <c r="C7" s="3" t="s">
        <v>689</v>
      </c>
      <c r="D7" s="3" t="s">
        <v>679</v>
      </c>
      <c r="E7" s="3" t="s">
        <v>1355</v>
      </c>
      <c r="F7" s="26" t="s">
        <v>264</v>
      </c>
      <c r="G7" s="26" t="s">
        <v>694</v>
      </c>
      <c r="H7" s="3">
        <v>500</v>
      </c>
      <c r="I7" s="3">
        <v>7000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3" t="s">
        <v>704</v>
      </c>
      <c r="T7" s="3" t="s">
        <v>705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</row>
    <row r="8" spans="1:28" x14ac:dyDescent="0.3">
      <c r="A8" s="3">
        <v>7</v>
      </c>
      <c r="B8" s="3">
        <v>64</v>
      </c>
      <c r="C8" s="3" t="s">
        <v>690</v>
      </c>
      <c r="D8" s="3" t="s">
        <v>680</v>
      </c>
      <c r="E8" s="3">
        <v>0</v>
      </c>
      <c r="F8" s="26" t="s">
        <v>266</v>
      </c>
      <c r="G8" s="26" t="s">
        <v>696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S8" s="3" t="s">
        <v>656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</row>
    <row r="9" spans="1:28" x14ac:dyDescent="0.3">
      <c r="A9" s="3">
        <v>8</v>
      </c>
      <c r="B9" s="3">
        <v>128</v>
      </c>
      <c r="C9" s="3" t="s">
        <v>691</v>
      </c>
      <c r="D9" s="3" t="s">
        <v>681</v>
      </c>
      <c r="E9" s="3" t="s">
        <v>1350</v>
      </c>
      <c r="F9" s="26" t="s">
        <v>268</v>
      </c>
      <c r="G9" s="26" t="s">
        <v>703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</row>
    <row r="10" spans="1:28" x14ac:dyDescent="0.3">
      <c r="A10" s="3">
        <v>9</v>
      </c>
      <c r="B10" s="3">
        <v>256</v>
      </c>
      <c r="C10" s="3" t="s">
        <v>692</v>
      </c>
      <c r="D10" s="3" t="s">
        <v>682</v>
      </c>
      <c r="E10" s="3" t="s">
        <v>1354</v>
      </c>
      <c r="F10" s="26" t="s">
        <v>338</v>
      </c>
      <c r="G10" s="26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</row>
    <row r="11" spans="1:28" x14ac:dyDescent="0.3">
      <c r="A11" s="3">
        <v>10</v>
      </c>
      <c r="B11" s="3">
        <v>512</v>
      </c>
      <c r="C11" s="3" t="s">
        <v>693</v>
      </c>
      <c r="D11" s="3" t="s">
        <v>683</v>
      </c>
      <c r="E11" s="3" t="s">
        <v>1353</v>
      </c>
      <c r="F11" s="26" t="s">
        <v>337</v>
      </c>
      <c r="G11" s="26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54149-1654-4C74-8782-62A50C01C2EB}">
  <sheetPr codeName="Sheet8"/>
  <dimension ref="A1:L10"/>
  <sheetViews>
    <sheetView workbookViewId="0"/>
  </sheetViews>
  <sheetFormatPr defaultRowHeight="12" x14ac:dyDescent="0.3"/>
  <cols>
    <col min="1" max="2" width="9" style="3"/>
    <col min="3" max="3" width="13.375" style="3" bestFit="1" customWidth="1"/>
    <col min="4" max="4" width="9" style="3"/>
    <col min="5" max="5" width="14.125" style="3" bestFit="1" customWidth="1"/>
    <col min="6" max="6" width="13" style="3" bestFit="1" customWidth="1"/>
    <col min="7" max="7" width="18.625" style="3" bestFit="1" customWidth="1"/>
    <col min="8" max="8" width="2.625" style="17" customWidth="1"/>
    <col min="9" max="9" width="9" style="1"/>
    <col min="10" max="10" width="15.625" style="1" bestFit="1" customWidth="1"/>
    <col min="11" max="11" width="23.875" style="1" bestFit="1" customWidth="1"/>
    <col min="12" max="16384" width="9" style="1"/>
  </cols>
  <sheetData>
    <row r="1" spans="1:12" x14ac:dyDescent="0.3">
      <c r="A1" s="3" t="s">
        <v>1009</v>
      </c>
      <c r="B1" s="3" t="s">
        <v>1010</v>
      </c>
      <c r="C1" s="3" t="s">
        <v>1011</v>
      </c>
      <c r="D1" s="3" t="s">
        <v>1012</v>
      </c>
      <c r="E1" s="3" t="s">
        <v>1253</v>
      </c>
      <c r="F1" s="3" t="s">
        <v>1255</v>
      </c>
      <c r="G1" s="3" t="s">
        <v>1013</v>
      </c>
    </row>
    <row r="2" spans="1:12" x14ac:dyDescent="0.3">
      <c r="A2" s="3" t="s">
        <v>1131</v>
      </c>
      <c r="B2" s="3" t="s">
        <v>1132</v>
      </c>
      <c r="C2" s="3" t="s">
        <v>1014</v>
      </c>
      <c r="D2" s="3">
        <v>100</v>
      </c>
      <c r="E2" s="3">
        <v>3</v>
      </c>
      <c r="F2" s="3">
        <v>1</v>
      </c>
      <c r="G2" s="3">
        <v>0</v>
      </c>
      <c r="J2" s="32" t="s">
        <v>1128</v>
      </c>
      <c r="K2" s="34"/>
      <c r="L2" s="35"/>
    </row>
    <row r="3" spans="1:12" x14ac:dyDescent="0.3">
      <c r="A3" s="3" t="s">
        <v>1202</v>
      </c>
      <c r="B3" s="3" t="s">
        <v>1203</v>
      </c>
      <c r="C3" s="3" t="s">
        <v>1204</v>
      </c>
      <c r="D3" s="3">
        <v>101</v>
      </c>
      <c r="E3" s="3">
        <v>3</v>
      </c>
      <c r="F3" s="3">
        <v>1</v>
      </c>
      <c r="G3" s="3" t="s">
        <v>1205</v>
      </c>
      <c r="J3" s="2" t="s">
        <v>86</v>
      </c>
      <c r="K3" s="2" t="s">
        <v>87</v>
      </c>
      <c r="L3" s="2" t="s">
        <v>88</v>
      </c>
    </row>
    <row r="4" spans="1:12" x14ac:dyDescent="0.3">
      <c r="A4" s="3" t="s">
        <v>1211</v>
      </c>
      <c r="B4" s="3" t="s">
        <v>1216</v>
      </c>
      <c r="C4" s="3" t="s">
        <v>1217</v>
      </c>
      <c r="D4" s="3">
        <v>102</v>
      </c>
      <c r="E4" s="3">
        <v>3</v>
      </c>
      <c r="F4" s="3">
        <v>1</v>
      </c>
      <c r="G4" s="3" t="s">
        <v>1218</v>
      </c>
      <c r="J4" s="2" t="s">
        <v>1015</v>
      </c>
      <c r="K4" s="6" t="s">
        <v>1016</v>
      </c>
      <c r="L4" s="6" t="s">
        <v>89</v>
      </c>
    </row>
    <row r="5" spans="1:12" x14ac:dyDescent="0.3">
      <c r="J5" s="2" t="s">
        <v>1017</v>
      </c>
      <c r="K5" s="6" t="s">
        <v>1018</v>
      </c>
      <c r="L5" s="6" t="s">
        <v>89</v>
      </c>
    </row>
    <row r="6" spans="1:12" x14ac:dyDescent="0.3">
      <c r="J6" s="2" t="s">
        <v>1019</v>
      </c>
      <c r="K6" s="6" t="s">
        <v>1020</v>
      </c>
      <c r="L6" s="6" t="s">
        <v>97</v>
      </c>
    </row>
    <row r="7" spans="1:12" x14ac:dyDescent="0.3">
      <c r="J7" s="2" t="s">
        <v>1021</v>
      </c>
      <c r="K7" s="6" t="s">
        <v>1022</v>
      </c>
      <c r="L7" s="6" t="s">
        <v>1228</v>
      </c>
    </row>
    <row r="8" spans="1:12" x14ac:dyDescent="0.3">
      <c r="J8" s="2" t="s">
        <v>1252</v>
      </c>
      <c r="K8" s="6" t="s">
        <v>1256</v>
      </c>
      <c r="L8" s="6" t="s">
        <v>123</v>
      </c>
    </row>
    <row r="9" spans="1:12" x14ac:dyDescent="0.3">
      <c r="J9" s="2" t="s">
        <v>1254</v>
      </c>
      <c r="K9" s="6" t="s">
        <v>1257</v>
      </c>
      <c r="L9" s="6" t="s">
        <v>123</v>
      </c>
    </row>
    <row r="10" spans="1:12" x14ac:dyDescent="0.3">
      <c r="J10" s="2" t="s">
        <v>1023</v>
      </c>
      <c r="K10" s="6" t="s">
        <v>1024</v>
      </c>
      <c r="L10" s="6" t="s">
        <v>97</v>
      </c>
    </row>
  </sheetData>
  <mergeCells count="1">
    <mergeCell ref="J2:L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12FAE-2807-46B7-8D70-68D2618FCC09}">
  <sheetPr codeName="Sheet9"/>
  <dimension ref="A1:T171"/>
  <sheetViews>
    <sheetView topLeftCell="A64" workbookViewId="0">
      <selection activeCell="R133" sqref="R132:R133"/>
    </sheetView>
  </sheetViews>
  <sheetFormatPr defaultRowHeight="12" x14ac:dyDescent="0.3"/>
  <cols>
    <col min="1" max="1" width="4.125" style="3" bestFit="1" customWidth="1"/>
    <col min="2" max="2" width="9.125" style="3" bestFit="1" customWidth="1"/>
    <col min="3" max="3" width="7.5" style="3" bestFit="1" customWidth="1"/>
    <col min="4" max="4" width="5" style="3" bestFit="1" customWidth="1"/>
    <col min="5" max="5" width="10.125" style="3" bestFit="1" customWidth="1"/>
    <col min="6" max="6" width="12.875" style="29" customWidth="1"/>
    <col min="7" max="7" width="11.75" style="3" bestFit="1" customWidth="1"/>
    <col min="8" max="8" width="11.25" style="3" bestFit="1" customWidth="1"/>
    <col min="9" max="9" width="2.125" style="17" customWidth="1"/>
    <col min="10" max="11" width="9" style="1"/>
    <col min="12" max="13" width="24.5" style="1" customWidth="1"/>
    <col min="14" max="14" width="9" style="1" customWidth="1"/>
    <col min="15" max="15" width="1.875" style="1" customWidth="1"/>
    <col min="16" max="16" width="9.5" style="1" bestFit="1" customWidth="1"/>
    <col min="17" max="17" width="20.5" style="1" bestFit="1" customWidth="1"/>
    <col min="18" max="18" width="35" style="1" bestFit="1" customWidth="1"/>
    <col min="19" max="19" width="10.5" style="1" bestFit="1" customWidth="1"/>
    <col min="20" max="20" width="14.25" style="1" bestFit="1" customWidth="1"/>
    <col min="21" max="16384" width="9" style="1"/>
  </cols>
  <sheetData>
    <row r="1" spans="1:20" x14ac:dyDescent="0.3">
      <c r="A1" s="3" t="s">
        <v>1025</v>
      </c>
      <c r="B1" s="3" t="s">
        <v>1026</v>
      </c>
      <c r="C1" s="3" t="s">
        <v>1027</v>
      </c>
      <c r="D1" s="3" t="s">
        <v>1028</v>
      </c>
      <c r="E1" s="3" t="s">
        <v>1029</v>
      </c>
      <c r="F1" s="29" t="s">
        <v>1030</v>
      </c>
      <c r="G1" s="3" t="s">
        <v>1251</v>
      </c>
      <c r="H1" s="3" t="s">
        <v>1031</v>
      </c>
      <c r="J1" s="1" t="s">
        <v>1219</v>
      </c>
    </row>
    <row r="2" spans="1:20" x14ac:dyDescent="0.3">
      <c r="A2" s="3">
        <f>ROW()-1</f>
        <v>1</v>
      </c>
      <c r="B2" s="3">
        <v>1</v>
      </c>
      <c r="C2" s="3">
        <v>100</v>
      </c>
      <c r="D2" s="3">
        <v>1</v>
      </c>
      <c r="E2" s="3">
        <v>2</v>
      </c>
      <c r="F2" s="29" t="str">
        <f>IF(E2=1,G2&amp;" 골드",IF(E2=2,INDEX('02.CardData'!E:E,MATCH(G2,'02.CardData'!B:B,0)),IF(E2=3,INDEX('03.RelicData'!E:E,MATCH(G2,'03.RelicData'!A:A,0)),IF(E2=4,INDEX('06.PackData'!C:C,MATCH(G2,'06.PackData'!A:A,0)),"X"))))</f>
        <v>삽</v>
      </c>
      <c r="G2" s="6" t="s">
        <v>140</v>
      </c>
      <c r="H2" s="3">
        <v>1</v>
      </c>
      <c r="L2" s="36" t="s">
        <v>1154</v>
      </c>
      <c r="M2" s="36"/>
      <c r="N2" s="36"/>
    </row>
    <row r="3" spans="1:20" x14ac:dyDescent="0.3">
      <c r="A3" s="3">
        <f t="shared" ref="A3:A66" si="0">ROW()-1</f>
        <v>2</v>
      </c>
      <c r="B3" s="3">
        <v>1</v>
      </c>
      <c r="C3" s="3">
        <v>100</v>
      </c>
      <c r="D3" s="3">
        <v>1</v>
      </c>
      <c r="E3" s="3">
        <v>2</v>
      </c>
      <c r="F3" s="29" t="str">
        <f>IF(E3=1,G3&amp;" 골드",IF(E3=2,INDEX('02.CardData'!E:E,MATCH(G3,'02.CardData'!B:B,0)),IF(E3=3,INDEX('03.RelicData'!E:E,MATCH(G3,'03.RelicData'!A:A,0)),IF(E3=4,INDEX('06.PackData'!C:C,MATCH(G3,'06.PackData'!A:A,0)),"X"))))</f>
        <v>갈퀴</v>
      </c>
      <c r="G3" s="6" t="s">
        <v>141</v>
      </c>
      <c r="H3" s="3">
        <v>1</v>
      </c>
      <c r="L3" s="10" t="s">
        <v>1139</v>
      </c>
      <c r="M3" s="10" t="s">
        <v>87</v>
      </c>
      <c r="N3" s="10" t="s">
        <v>88</v>
      </c>
    </row>
    <row r="4" spans="1:20" x14ac:dyDescent="0.3">
      <c r="A4" s="3">
        <f t="shared" si="0"/>
        <v>3</v>
      </c>
      <c r="B4" s="3">
        <v>1</v>
      </c>
      <c r="C4" s="3">
        <v>100</v>
      </c>
      <c r="D4" s="3">
        <v>1</v>
      </c>
      <c r="E4" s="3">
        <v>2</v>
      </c>
      <c r="F4" s="29" t="str">
        <f>IF(E4=1,G4&amp;" 골드",IF(E4=2,INDEX('02.CardData'!E:E,MATCH(G4,'02.CardData'!B:B,0)),IF(E4=3,INDEX('03.RelicData'!E:E,MATCH(G4,'03.RelicData'!A:A,0)),IF(E4=4,INDEX('06.PackData'!C:C,MATCH(G4,'06.PackData'!A:A,0)),"X"))))</f>
        <v>삽+</v>
      </c>
      <c r="G4" s="6" t="s">
        <v>707</v>
      </c>
      <c r="H4" s="3">
        <v>1</v>
      </c>
      <c r="L4" s="10" t="s">
        <v>1140</v>
      </c>
      <c r="M4" s="10" t="s">
        <v>1141</v>
      </c>
      <c r="N4" s="10" t="s">
        <v>89</v>
      </c>
    </row>
    <row r="5" spans="1:20" x14ac:dyDescent="0.3">
      <c r="A5" s="3">
        <f t="shared" si="0"/>
        <v>4</v>
      </c>
      <c r="B5" s="3">
        <v>1</v>
      </c>
      <c r="C5" s="3">
        <v>100</v>
      </c>
      <c r="D5" s="3">
        <v>1</v>
      </c>
      <c r="E5" s="3">
        <v>2</v>
      </c>
      <c r="F5" s="29" t="str">
        <f>IF(E5=1,G5&amp;" 골드",IF(E5=2,INDEX('02.CardData'!E:E,MATCH(G5,'02.CardData'!B:B,0)),IF(E5=3,INDEX('03.RelicData'!E:E,MATCH(G5,'03.RelicData'!A:A,0)),IF(E5=4,INDEX('06.PackData'!C:C,MATCH(G5,'06.PackData'!A:A,0)),"X"))))</f>
        <v>갈퀴+</v>
      </c>
      <c r="G5" s="6" t="s">
        <v>706</v>
      </c>
      <c r="H5" s="3">
        <v>1</v>
      </c>
      <c r="L5" s="10" t="s">
        <v>1142</v>
      </c>
      <c r="M5" s="10" t="s">
        <v>1143</v>
      </c>
      <c r="N5" s="10" t="s">
        <v>101</v>
      </c>
      <c r="P5" s="42" t="s">
        <v>1155</v>
      </c>
      <c r="Q5" s="42"/>
      <c r="R5" s="42"/>
    </row>
    <row r="6" spans="1:20" x14ac:dyDescent="0.3">
      <c r="A6" s="3">
        <f t="shared" si="0"/>
        <v>5</v>
      </c>
      <c r="B6" s="3">
        <v>1</v>
      </c>
      <c r="C6" s="3">
        <v>100</v>
      </c>
      <c r="D6" s="3">
        <v>1</v>
      </c>
      <c r="E6" s="3">
        <v>2</v>
      </c>
      <c r="F6" s="29" t="str">
        <f>IF(E6=1,G6&amp;" 골드",IF(E6=2,INDEX('02.CardData'!E:E,MATCH(G6,'02.CardData'!B:B,0)),IF(E6=3,INDEX('03.RelicData'!E:E,MATCH(G6,'03.RelicData'!A:A,0)),IF(E6=4,INDEX('06.PackData'!C:C,MATCH(G6,'06.PackData'!A:A,0)),"X"))))</f>
        <v>황금 삽</v>
      </c>
      <c r="G6" s="6" t="s">
        <v>708</v>
      </c>
      <c r="H6" s="3">
        <v>1</v>
      </c>
      <c r="L6" s="10" t="s">
        <v>1144</v>
      </c>
      <c r="M6" s="10" t="s">
        <v>1145</v>
      </c>
      <c r="N6" s="10" t="s">
        <v>101</v>
      </c>
      <c r="P6" s="3" t="s">
        <v>1156</v>
      </c>
      <c r="Q6" s="3" t="s">
        <v>87</v>
      </c>
      <c r="R6" s="3" t="s">
        <v>1157</v>
      </c>
    </row>
    <row r="7" spans="1:20" x14ac:dyDescent="0.3">
      <c r="A7" s="3">
        <f t="shared" si="0"/>
        <v>6</v>
      </c>
      <c r="B7" s="3">
        <v>1</v>
      </c>
      <c r="C7" s="3">
        <v>100</v>
      </c>
      <c r="D7" s="3">
        <v>1</v>
      </c>
      <c r="E7" s="3">
        <v>2</v>
      </c>
      <c r="F7" s="29" t="str">
        <f>IF(E7=1,G7&amp;" 골드",IF(E7=2,INDEX('02.CardData'!E:E,MATCH(G7,'02.CardData'!B:B,0)),IF(E7=3,INDEX('03.RelicData'!E:E,MATCH(G7,'03.RelicData'!A:A,0)),IF(E7=4,INDEX('06.PackData'!C:C,MATCH(G7,'06.PackData'!A:A,0)),"X"))))</f>
        <v>황금 삽+</v>
      </c>
      <c r="G7" s="6" t="s">
        <v>709</v>
      </c>
      <c r="H7" s="3">
        <v>1</v>
      </c>
      <c r="L7" s="10" t="s">
        <v>1146</v>
      </c>
      <c r="M7" s="10" t="s">
        <v>1147</v>
      </c>
      <c r="N7" s="10" t="s">
        <v>123</v>
      </c>
      <c r="P7" s="3">
        <v>1</v>
      </c>
      <c r="Q7" s="3" t="s">
        <v>1158</v>
      </c>
      <c r="R7" s="3" t="s">
        <v>1159</v>
      </c>
    </row>
    <row r="8" spans="1:20" x14ac:dyDescent="0.3">
      <c r="A8" s="3">
        <f t="shared" si="0"/>
        <v>7</v>
      </c>
      <c r="B8" s="3">
        <v>1</v>
      </c>
      <c r="C8" s="3">
        <v>100</v>
      </c>
      <c r="D8" s="3">
        <v>1</v>
      </c>
      <c r="E8" s="3">
        <v>2</v>
      </c>
      <c r="F8" s="29" t="str">
        <f>IF(E8=1,G8&amp;" 골드",IF(E8=2,INDEX('02.CardData'!E:E,MATCH(G8,'02.CardData'!B:B,0)),IF(E8=3,INDEX('03.RelicData'!E:E,MATCH(G8,'03.RelicData'!A:A,0)),IF(E8=4,INDEX('06.PackData'!C:C,MATCH(G8,'06.PackData'!A:A,0)),"X"))))</f>
        <v>도끼</v>
      </c>
      <c r="G8" s="6" t="s">
        <v>710</v>
      </c>
      <c r="H8" s="3">
        <v>1</v>
      </c>
      <c r="L8" s="10" t="s">
        <v>1148</v>
      </c>
      <c r="M8" s="10" t="s">
        <v>1149</v>
      </c>
      <c r="N8" s="10" t="s">
        <v>101</v>
      </c>
      <c r="P8" s="3">
        <v>2</v>
      </c>
      <c r="Q8" s="3" t="s">
        <v>1170</v>
      </c>
      <c r="R8" s="3" t="s">
        <v>1171</v>
      </c>
    </row>
    <row r="9" spans="1:20" x14ac:dyDescent="0.3">
      <c r="A9" s="3">
        <f t="shared" si="0"/>
        <v>8</v>
      </c>
      <c r="B9" s="3">
        <v>1</v>
      </c>
      <c r="C9" s="3">
        <v>100</v>
      </c>
      <c r="D9" s="3">
        <v>1</v>
      </c>
      <c r="E9" s="3">
        <v>2</v>
      </c>
      <c r="F9" s="29" t="str">
        <f>IF(E9=1,G9&amp;" 골드",IF(E9=2,INDEX('02.CardData'!E:E,MATCH(G9,'02.CardData'!B:B,0)),IF(E9=3,INDEX('03.RelicData'!E:E,MATCH(G9,'03.RelicData'!A:A,0)),IF(E9=4,INDEX('06.PackData'!C:C,MATCH(G9,'06.PackData'!A:A,0)),"X"))))</f>
        <v>도끼+</v>
      </c>
      <c r="G9" s="6" t="s">
        <v>172</v>
      </c>
      <c r="H9" s="3">
        <v>1</v>
      </c>
      <c r="L9" s="10" t="s">
        <v>1150</v>
      </c>
      <c r="M9" s="10" t="s">
        <v>1151</v>
      </c>
      <c r="N9" s="10" t="s">
        <v>101</v>
      </c>
      <c r="P9" s="3">
        <v>3</v>
      </c>
      <c r="Q9" s="3" t="s">
        <v>1174</v>
      </c>
      <c r="R9" s="3" t="s">
        <v>1175</v>
      </c>
    </row>
    <row r="10" spans="1:20" x14ac:dyDescent="0.3">
      <c r="A10" s="3">
        <f t="shared" si="0"/>
        <v>9</v>
      </c>
      <c r="B10" s="3">
        <v>1</v>
      </c>
      <c r="C10" s="3">
        <v>100</v>
      </c>
      <c r="D10" s="3">
        <v>1</v>
      </c>
      <c r="E10" s="3">
        <v>2</v>
      </c>
      <c r="F10" s="29" t="str">
        <f>IF(E10=1,G10&amp;" 골드",IF(E10=2,INDEX('02.CardData'!E:E,MATCH(G10,'02.CardData'!B:B,0)),IF(E10=3,INDEX('03.RelicData'!E:E,MATCH(G10,'03.RelicData'!A:A,0)),IF(E10=4,INDEX('06.PackData'!C:C,MATCH(G10,'06.PackData'!A:A,0)),"X"))))</f>
        <v>십자 끌</v>
      </c>
      <c r="G10" s="6" t="s">
        <v>711</v>
      </c>
      <c r="H10" s="3">
        <v>1</v>
      </c>
      <c r="L10" s="10" t="s">
        <v>1152</v>
      </c>
      <c r="M10" s="10" t="s">
        <v>1153</v>
      </c>
      <c r="N10" s="10" t="s">
        <v>123</v>
      </c>
      <c r="P10" s="3">
        <v>4</v>
      </c>
      <c r="Q10" s="3" t="s">
        <v>1340</v>
      </c>
      <c r="R10" s="3" t="s">
        <v>1341</v>
      </c>
    </row>
    <row r="11" spans="1:20" x14ac:dyDescent="0.3">
      <c r="A11" s="3">
        <f t="shared" si="0"/>
        <v>10</v>
      </c>
      <c r="B11" s="3">
        <v>1</v>
      </c>
      <c r="C11" s="3">
        <v>100</v>
      </c>
      <c r="D11" s="3">
        <v>1</v>
      </c>
      <c r="E11" s="3">
        <v>2</v>
      </c>
      <c r="F11" s="29" t="str">
        <f>IF(E11=1,G11&amp;" 골드",IF(E11=2,INDEX('02.CardData'!E:E,MATCH(G11,'02.CardData'!B:B,0)),IF(E11=3,INDEX('03.RelicData'!E:E,MATCH(G11,'03.RelicData'!A:A,0)),IF(E11=4,INDEX('06.PackData'!C:C,MATCH(G11,'06.PackData'!A:A,0)),"X"))))</f>
        <v>십자 끌+</v>
      </c>
      <c r="G11" s="6" t="s">
        <v>712</v>
      </c>
      <c r="H11" s="3">
        <v>1</v>
      </c>
    </row>
    <row r="12" spans="1:20" x14ac:dyDescent="0.3">
      <c r="A12" s="3">
        <f t="shared" si="0"/>
        <v>11</v>
      </c>
      <c r="B12" s="3">
        <v>1</v>
      </c>
      <c r="C12" s="3">
        <v>100</v>
      </c>
      <c r="D12" s="3">
        <v>1</v>
      </c>
      <c r="E12" s="3">
        <v>2</v>
      </c>
      <c r="F12" s="29" t="str">
        <f>IF(E12=1,G12&amp;" 골드",IF(E12=2,INDEX('02.CardData'!E:E,MATCH(G12,'02.CardData'!B:B,0)),IF(E12=3,INDEX('03.RelicData'!E:E,MATCH(G12,'03.RelicData'!A:A,0)),IF(E12=4,INDEX('06.PackData'!C:C,MATCH(G12,'06.PackData'!A:A,0)),"X"))))</f>
        <v>곡괭이</v>
      </c>
      <c r="G12" s="6" t="s">
        <v>175</v>
      </c>
      <c r="H12" s="3">
        <v>1</v>
      </c>
      <c r="P12" s="36" t="s">
        <v>1160</v>
      </c>
      <c r="Q12" s="36"/>
      <c r="R12" s="36"/>
      <c r="S12" s="36"/>
      <c r="T12" s="36"/>
    </row>
    <row r="13" spans="1:20" x14ac:dyDescent="0.3">
      <c r="A13" s="3">
        <f t="shared" si="0"/>
        <v>12</v>
      </c>
      <c r="B13" s="3">
        <v>1</v>
      </c>
      <c r="C13" s="3">
        <v>100</v>
      </c>
      <c r="D13" s="3">
        <v>1</v>
      </c>
      <c r="E13" s="3">
        <v>2</v>
      </c>
      <c r="F13" s="29" t="str">
        <f>IF(E13=1,G13&amp;" 골드",IF(E13=2,INDEX('02.CardData'!E:E,MATCH(G13,'02.CardData'!B:B,0)),IF(E13=3,INDEX('03.RelicData'!E:E,MATCH(G13,'03.RelicData'!A:A,0)),IF(E13=4,INDEX('06.PackData'!C:C,MATCH(G13,'06.PackData'!A:A,0)),"X"))))</f>
        <v>곡괭이+</v>
      </c>
      <c r="G13" s="6" t="s">
        <v>176</v>
      </c>
      <c r="H13" s="3">
        <v>1</v>
      </c>
      <c r="P13" s="27" t="s">
        <v>1148</v>
      </c>
      <c r="Q13" s="27" t="s">
        <v>87</v>
      </c>
      <c r="R13" s="27" t="s">
        <v>1150</v>
      </c>
      <c r="S13" s="27" t="s">
        <v>1152</v>
      </c>
      <c r="T13" s="27" t="s">
        <v>1161</v>
      </c>
    </row>
    <row r="14" spans="1:20" x14ac:dyDescent="0.3">
      <c r="A14" s="3">
        <f t="shared" si="0"/>
        <v>13</v>
      </c>
      <c r="B14" s="3">
        <v>1</v>
      </c>
      <c r="C14" s="3">
        <v>100</v>
      </c>
      <c r="D14" s="3">
        <v>1</v>
      </c>
      <c r="E14" s="3">
        <v>2</v>
      </c>
      <c r="F14" s="29" t="str">
        <f>IF(E14=1,G14&amp;" 골드",IF(E14=2,INDEX('02.CardData'!E:E,MATCH(G14,'02.CardData'!B:B,0)),IF(E14=3,INDEX('03.RelicData'!E:E,MATCH(G14,'03.RelicData'!A:A,0)),IF(E14=4,INDEX('06.PackData'!C:C,MATCH(G14,'06.PackData'!A:A,0)),"X"))))</f>
        <v>새총</v>
      </c>
      <c r="G14" s="6" t="s">
        <v>177</v>
      </c>
      <c r="H14" s="3">
        <v>1</v>
      </c>
      <c r="P14" s="27">
        <v>1</v>
      </c>
      <c r="Q14" s="27" t="s">
        <v>1162</v>
      </c>
      <c r="R14" s="27" t="s">
        <v>1163</v>
      </c>
      <c r="S14" s="27"/>
      <c r="T14" s="27"/>
    </row>
    <row r="15" spans="1:20" x14ac:dyDescent="0.3">
      <c r="A15" s="3">
        <f t="shared" si="0"/>
        <v>14</v>
      </c>
      <c r="B15" s="3">
        <v>1</v>
      </c>
      <c r="C15" s="3">
        <v>100</v>
      </c>
      <c r="D15" s="3">
        <v>1</v>
      </c>
      <c r="E15" s="3">
        <v>2</v>
      </c>
      <c r="F15" s="29" t="str">
        <f>IF(E15=1,G15&amp;" 골드",IF(E15=2,INDEX('02.CardData'!E:E,MATCH(G15,'02.CardData'!B:B,0)),IF(E15=3,INDEX('03.RelicData'!E:E,MATCH(G15,'03.RelicData'!A:A,0)),IF(E15=4,INDEX('06.PackData'!C:C,MATCH(G15,'06.PackData'!A:A,0)),"X"))))</f>
        <v>새총+</v>
      </c>
      <c r="G15" s="6" t="s">
        <v>178</v>
      </c>
      <c r="H15" s="3">
        <v>1</v>
      </c>
      <c r="P15" s="27">
        <v>2</v>
      </c>
      <c r="Q15" s="27" t="s">
        <v>1165</v>
      </c>
      <c r="R15" s="27" t="s">
        <v>1167</v>
      </c>
      <c r="S15" s="27" t="s">
        <v>1164</v>
      </c>
      <c r="T15" s="27" t="s">
        <v>1168</v>
      </c>
    </row>
    <row r="16" spans="1:20" x14ac:dyDescent="0.3">
      <c r="A16" s="3">
        <f t="shared" si="0"/>
        <v>15</v>
      </c>
      <c r="B16" s="3">
        <v>1</v>
      </c>
      <c r="C16" s="3">
        <v>100</v>
      </c>
      <c r="D16" s="3">
        <v>1</v>
      </c>
      <c r="E16" s="3">
        <v>2</v>
      </c>
      <c r="F16" s="29" t="str">
        <f>IF(E16=1,G16&amp;" 골드",IF(E16=2,INDEX('02.CardData'!E:E,MATCH(G16,'02.CardData'!B:B,0)),IF(E16=3,INDEX('03.RelicData'!E:E,MATCH(G16,'03.RelicData'!A:A,0)),IF(E16=4,INDEX('06.PackData'!C:C,MATCH(G16,'06.PackData'!A:A,0)),"X"))))</f>
        <v>모서리 파쇄 해머</v>
      </c>
      <c r="G16" s="6" t="s">
        <v>179</v>
      </c>
      <c r="H16" s="3">
        <v>1</v>
      </c>
      <c r="P16" s="27">
        <v>3</v>
      </c>
      <c r="Q16" s="27" t="s">
        <v>1166</v>
      </c>
      <c r="R16" s="27" t="s">
        <v>594</v>
      </c>
      <c r="S16" s="27" t="s">
        <v>1164</v>
      </c>
      <c r="T16" s="27" t="s">
        <v>1169</v>
      </c>
    </row>
    <row r="17" spans="1:20" x14ac:dyDescent="0.3">
      <c r="A17" s="3">
        <f t="shared" si="0"/>
        <v>16</v>
      </c>
      <c r="B17" s="3">
        <v>1</v>
      </c>
      <c r="C17" s="3">
        <v>100</v>
      </c>
      <c r="D17" s="3">
        <v>1</v>
      </c>
      <c r="E17" s="3">
        <v>2</v>
      </c>
      <c r="F17" s="29" t="str">
        <f>IF(E17=1,G17&amp;" 골드",IF(E17=2,INDEX('02.CardData'!E:E,MATCH(G17,'02.CardData'!B:B,0)),IF(E17=3,INDEX('03.RelicData'!E:E,MATCH(G17,'03.RelicData'!A:A,0)),IF(E17=4,INDEX('06.PackData'!C:C,MATCH(G17,'06.PackData'!A:A,0)),"X"))))</f>
        <v>모서리 파쇄 해머+</v>
      </c>
      <c r="G17" s="6" t="s">
        <v>180</v>
      </c>
      <c r="H17" s="3">
        <v>1</v>
      </c>
      <c r="P17" s="27">
        <v>4</v>
      </c>
      <c r="Q17" s="27" t="s">
        <v>1172</v>
      </c>
      <c r="R17" s="3" t="s">
        <v>1009</v>
      </c>
      <c r="S17" s="27" t="s">
        <v>1164</v>
      </c>
      <c r="T17" s="27" t="s">
        <v>1173</v>
      </c>
    </row>
    <row r="18" spans="1:20" x14ac:dyDescent="0.3">
      <c r="A18" s="3">
        <f t="shared" si="0"/>
        <v>17</v>
      </c>
      <c r="B18" s="3">
        <v>1</v>
      </c>
      <c r="C18" s="3">
        <v>100</v>
      </c>
      <c r="D18" s="3">
        <v>1</v>
      </c>
      <c r="E18" s="3">
        <v>2</v>
      </c>
      <c r="F18" s="29" t="str">
        <f>IF(E18=1,G18&amp;" 골드",IF(E18=2,INDEX('02.CardData'!E:E,MATCH(G18,'02.CardData'!B:B,0)),IF(E18=3,INDEX('03.RelicData'!E:E,MATCH(G18,'03.RelicData'!A:A,0)),IF(E18=4,INDEX('06.PackData'!C:C,MATCH(G18,'06.PackData'!A:A,0)),"X"))))</f>
        <v>집중형 십자 드릴</v>
      </c>
      <c r="G18" s="6" t="s">
        <v>181</v>
      </c>
      <c r="H18" s="3">
        <v>1</v>
      </c>
    </row>
    <row r="19" spans="1:20" x14ac:dyDescent="0.3">
      <c r="A19" s="3">
        <f t="shared" si="0"/>
        <v>18</v>
      </c>
      <c r="B19" s="3">
        <v>1</v>
      </c>
      <c r="C19" s="3">
        <v>100</v>
      </c>
      <c r="D19" s="3">
        <v>1</v>
      </c>
      <c r="E19" s="3">
        <v>2</v>
      </c>
      <c r="F19" s="29" t="str">
        <f>IF(E19=1,G19&amp;" 골드",IF(E19=2,INDEX('02.CardData'!E:E,MATCH(G19,'02.CardData'!B:B,0)),IF(E19=3,INDEX('03.RelicData'!E:E,MATCH(G19,'03.RelicData'!A:A,0)),IF(E19=4,INDEX('06.PackData'!C:C,MATCH(G19,'06.PackData'!A:A,0)),"X"))))</f>
        <v>집중형 십자 드릴+</v>
      </c>
      <c r="G19" s="6" t="s">
        <v>182</v>
      </c>
      <c r="H19" s="3">
        <v>1</v>
      </c>
    </row>
    <row r="20" spans="1:20" x14ac:dyDescent="0.3">
      <c r="A20" s="3">
        <f t="shared" si="0"/>
        <v>19</v>
      </c>
      <c r="B20" s="3">
        <v>1</v>
      </c>
      <c r="C20" s="3">
        <v>100</v>
      </c>
      <c r="D20" s="3">
        <v>1</v>
      </c>
      <c r="E20" s="3">
        <v>2</v>
      </c>
      <c r="F20" s="29" t="str">
        <f>IF(E20=1,G20&amp;" 골드",IF(E20=2,INDEX('02.CardData'!E:E,MATCH(G20,'02.CardData'!B:B,0)),IF(E20=3,INDEX('03.RelicData'!E:E,MATCH(G20,'03.RelicData'!A:A,0)),IF(E20=4,INDEX('06.PackData'!C:C,MATCH(G20,'06.PackData'!A:A,0)),"X"))))</f>
        <v>황금 도끼</v>
      </c>
      <c r="G20" s="6" t="s">
        <v>183</v>
      </c>
      <c r="H20" s="3">
        <v>1</v>
      </c>
    </row>
    <row r="21" spans="1:20" x14ac:dyDescent="0.3">
      <c r="A21" s="3">
        <f t="shared" si="0"/>
        <v>20</v>
      </c>
      <c r="B21" s="3">
        <v>1</v>
      </c>
      <c r="C21" s="3">
        <v>100</v>
      </c>
      <c r="D21" s="3">
        <v>1</v>
      </c>
      <c r="E21" s="3">
        <v>2</v>
      </c>
      <c r="F21" s="29" t="str">
        <f>IF(E21=1,G21&amp;" 골드",IF(E21=2,INDEX('02.CardData'!E:E,MATCH(G21,'02.CardData'!B:B,0)),IF(E21=3,INDEX('03.RelicData'!E:E,MATCH(G21,'03.RelicData'!A:A,0)),IF(E21=4,INDEX('06.PackData'!C:C,MATCH(G21,'06.PackData'!A:A,0)),"X"))))</f>
        <v>황금 도끼+</v>
      </c>
      <c r="G21" s="6" t="s">
        <v>184</v>
      </c>
      <c r="H21" s="3">
        <v>1</v>
      </c>
    </row>
    <row r="22" spans="1:20" x14ac:dyDescent="0.3">
      <c r="A22" s="3">
        <f t="shared" si="0"/>
        <v>21</v>
      </c>
      <c r="B22" s="3">
        <v>1</v>
      </c>
      <c r="C22" s="3">
        <v>100</v>
      </c>
      <c r="D22" s="3">
        <v>1</v>
      </c>
      <c r="E22" s="3">
        <v>2</v>
      </c>
      <c r="F22" s="29" t="str">
        <f>IF(E22=1,G22&amp;" 골드",IF(E22=2,INDEX('02.CardData'!E:E,MATCH(G22,'02.CardData'!B:B,0)),IF(E22=3,INDEX('03.RelicData'!E:E,MATCH(G22,'03.RelicData'!A:A,0)),IF(E22=4,INDEX('06.PackData'!C:C,MATCH(G22,'06.PackData'!A:A,0)),"X"))))</f>
        <v>대형 가위</v>
      </c>
      <c r="G22" s="6" t="s">
        <v>713</v>
      </c>
      <c r="H22" s="3">
        <v>1</v>
      </c>
    </row>
    <row r="23" spans="1:20" x14ac:dyDescent="0.3">
      <c r="A23" s="3">
        <f t="shared" si="0"/>
        <v>22</v>
      </c>
      <c r="B23" s="3">
        <v>1</v>
      </c>
      <c r="C23" s="3">
        <v>100</v>
      </c>
      <c r="D23" s="3">
        <v>1</v>
      </c>
      <c r="E23" s="3">
        <v>2</v>
      </c>
      <c r="F23" s="29" t="str">
        <f>IF(E23=1,G23&amp;" 골드",IF(E23=2,INDEX('02.CardData'!E:E,MATCH(G23,'02.CardData'!B:B,0)),IF(E23=3,INDEX('03.RelicData'!E:E,MATCH(G23,'03.RelicData'!A:A,0)),IF(E23=4,INDEX('06.PackData'!C:C,MATCH(G23,'06.PackData'!A:A,0)),"X"))))</f>
        <v>대형 가위+</v>
      </c>
      <c r="G23" s="6" t="s">
        <v>714</v>
      </c>
      <c r="H23" s="3">
        <v>1</v>
      </c>
    </row>
    <row r="24" spans="1:20" x14ac:dyDescent="0.3">
      <c r="A24" s="3">
        <f t="shared" si="0"/>
        <v>23</v>
      </c>
      <c r="B24" s="3">
        <v>1</v>
      </c>
      <c r="C24" s="3">
        <v>100</v>
      </c>
      <c r="D24" s="3">
        <v>1</v>
      </c>
      <c r="E24" s="3">
        <v>2</v>
      </c>
      <c r="F24" s="29" t="str">
        <f>IF(E24=1,G24&amp;" 골드",IF(E24=2,INDEX('02.CardData'!E:E,MATCH(G24,'02.CardData'!B:B,0)),IF(E24=3,INDEX('03.RelicData'!E:E,MATCH(G24,'03.RelicData'!A:A,0)),IF(E24=4,INDEX('06.PackData'!C:C,MATCH(G24,'06.PackData'!A:A,0)),"X"))))</f>
        <v>균열 카드 - 일반</v>
      </c>
      <c r="G24" s="6" t="s">
        <v>186</v>
      </c>
      <c r="H24" s="3">
        <v>1</v>
      </c>
    </row>
    <row r="25" spans="1:20" x14ac:dyDescent="0.3">
      <c r="A25" s="3">
        <f t="shared" si="0"/>
        <v>24</v>
      </c>
      <c r="B25" s="3">
        <v>1</v>
      </c>
      <c r="C25" s="3">
        <v>100</v>
      </c>
      <c r="D25" s="3">
        <v>1</v>
      </c>
      <c r="E25" s="3">
        <v>2</v>
      </c>
      <c r="F25" s="29" t="str">
        <f>IF(E25=1,G25&amp;" 골드",IF(E25=2,INDEX('02.CardData'!E:E,MATCH(G25,'02.CardData'!B:B,0)),IF(E25=3,INDEX('03.RelicData'!E:E,MATCH(G25,'03.RelicData'!A:A,0)),IF(E25=4,INDEX('06.PackData'!C:C,MATCH(G25,'06.PackData'!A:A,0)),"X"))))</f>
        <v>균열 카드 - 레어</v>
      </c>
      <c r="G25" s="6" t="s">
        <v>187</v>
      </c>
      <c r="H25" s="3">
        <v>1</v>
      </c>
    </row>
    <row r="26" spans="1:20" x14ac:dyDescent="0.3">
      <c r="A26" s="3">
        <f t="shared" si="0"/>
        <v>25</v>
      </c>
      <c r="B26" s="3">
        <v>1</v>
      </c>
      <c r="C26" s="3">
        <v>100</v>
      </c>
      <c r="D26" s="3">
        <v>1</v>
      </c>
      <c r="E26" s="3">
        <v>2</v>
      </c>
      <c r="F26" s="29" t="str">
        <f>IF(E26=1,G26&amp;" 골드",IF(E26=2,INDEX('02.CardData'!E:E,MATCH(G26,'02.CardData'!B:B,0)),IF(E26=3,INDEX('03.RelicData'!E:E,MATCH(G26,'03.RelicData'!A:A,0)),IF(E26=4,INDEX('06.PackData'!C:C,MATCH(G26,'06.PackData'!A:A,0)),"X"))))</f>
        <v>균열 카드 - 유니크</v>
      </c>
      <c r="G26" s="6" t="s">
        <v>188</v>
      </c>
      <c r="H26" s="3">
        <v>1</v>
      </c>
    </row>
    <row r="27" spans="1:20" x14ac:dyDescent="0.3">
      <c r="A27" s="3">
        <f t="shared" si="0"/>
        <v>26</v>
      </c>
      <c r="B27" s="3">
        <v>1</v>
      </c>
      <c r="C27" s="3">
        <v>100</v>
      </c>
      <c r="D27" s="3">
        <v>1</v>
      </c>
      <c r="E27" s="3">
        <v>2</v>
      </c>
      <c r="F27" s="29" t="str">
        <f>IF(E27=1,G27&amp;" 골드",IF(E27=2,INDEX('02.CardData'!E:E,MATCH(G27,'02.CardData'!B:B,0)),IF(E27=3,INDEX('03.RelicData'!E:E,MATCH(G27,'03.RelicData'!A:A,0)),IF(E27=4,INDEX('06.PackData'!C:C,MATCH(G27,'06.PackData'!A:A,0)),"X"))))</f>
        <v>가방</v>
      </c>
      <c r="G27" s="6" t="s">
        <v>189</v>
      </c>
      <c r="H27" s="3">
        <v>1</v>
      </c>
    </row>
    <row r="28" spans="1:20" x14ac:dyDescent="0.3">
      <c r="A28" s="3">
        <f t="shared" si="0"/>
        <v>27</v>
      </c>
      <c r="B28" s="3">
        <v>1</v>
      </c>
      <c r="C28" s="3">
        <v>100</v>
      </c>
      <c r="D28" s="3">
        <v>1</v>
      </c>
      <c r="E28" s="3">
        <v>2</v>
      </c>
      <c r="F28" s="29" t="str">
        <f>IF(E28=1,G28&amp;" 골드",IF(E28=2,INDEX('02.CardData'!E:E,MATCH(G28,'02.CardData'!B:B,0)),IF(E28=3,INDEX('03.RelicData'!E:E,MATCH(G28,'03.RelicData'!A:A,0)),IF(E28=4,INDEX('06.PackData'!C:C,MATCH(G28,'06.PackData'!A:A,0)),"X"))))</f>
        <v>도구 변형</v>
      </c>
      <c r="G28" s="6" t="s">
        <v>190</v>
      </c>
      <c r="H28" s="3">
        <v>1</v>
      </c>
    </row>
    <row r="29" spans="1:20" x14ac:dyDescent="0.3">
      <c r="A29" s="3">
        <f t="shared" si="0"/>
        <v>28</v>
      </c>
      <c r="B29" s="3">
        <v>1</v>
      </c>
      <c r="C29" s="3">
        <v>100</v>
      </c>
      <c r="D29" s="3">
        <v>1</v>
      </c>
      <c r="E29" s="3">
        <v>2</v>
      </c>
      <c r="F29" s="29" t="str">
        <f>IF(E29=1,G29&amp;" 골드",IF(E29=2,INDEX('02.CardData'!E:E,MATCH(G29,'02.CardData'!B:B,0)),IF(E29=3,INDEX('03.RelicData'!E:E,MATCH(G29,'03.RelicData'!A:A,0)),IF(E29=4,INDEX('06.PackData'!C:C,MATCH(G29,'06.PackData'!A:A,0)),"X"))))</f>
        <v>도구 강화</v>
      </c>
      <c r="G29" s="6" t="s">
        <v>191</v>
      </c>
      <c r="H29" s="3">
        <v>1</v>
      </c>
    </row>
    <row r="30" spans="1:20" x14ac:dyDescent="0.3">
      <c r="A30" s="3">
        <f t="shared" si="0"/>
        <v>29</v>
      </c>
      <c r="B30" s="3">
        <v>1</v>
      </c>
      <c r="C30" s="3">
        <v>100</v>
      </c>
      <c r="D30" s="3">
        <v>1</v>
      </c>
      <c r="E30" s="3">
        <v>2</v>
      </c>
      <c r="F30" s="29" t="str">
        <f>IF(E30=1,G30&amp;" 골드",IF(E30=2,INDEX('02.CardData'!E:E,MATCH(G30,'02.CardData'!B:B,0)),IF(E30=3,INDEX('03.RelicData'!E:E,MATCH(G30,'03.RelicData'!A:A,0)),IF(E30=4,INDEX('06.PackData'!C:C,MATCH(G30,'06.PackData'!A:A,0)),"X"))))</f>
        <v>모험가의 횃불</v>
      </c>
      <c r="G30" s="6" t="s">
        <v>697</v>
      </c>
      <c r="H30" s="3">
        <v>1</v>
      </c>
    </row>
    <row r="31" spans="1:20" x14ac:dyDescent="0.3">
      <c r="A31" s="3">
        <f t="shared" si="0"/>
        <v>30</v>
      </c>
      <c r="B31" s="3">
        <v>1</v>
      </c>
      <c r="C31" s="3">
        <v>100</v>
      </c>
      <c r="D31" s="3">
        <v>1</v>
      </c>
      <c r="E31" s="3">
        <v>2</v>
      </c>
      <c r="F31" s="29" t="str">
        <f>IF(E31=1,G31&amp;" 골드",IF(E31=2,INDEX('02.CardData'!E:E,MATCH(G31,'02.CardData'!B:B,0)),IF(E31=3,INDEX('03.RelicData'!E:E,MATCH(G31,'03.RelicData'!A:A,0)),IF(E31=4,INDEX('06.PackData'!C:C,MATCH(G31,'06.PackData'!A:A,0)),"X"))))</f>
        <v>모험가의 횃불+</v>
      </c>
      <c r="G31" s="6" t="s">
        <v>700</v>
      </c>
      <c r="H31" s="3">
        <v>1</v>
      </c>
    </row>
    <row r="32" spans="1:20" x14ac:dyDescent="0.3">
      <c r="A32" s="3">
        <f t="shared" si="0"/>
        <v>31</v>
      </c>
      <c r="B32" s="3">
        <v>1</v>
      </c>
      <c r="C32" s="3">
        <v>100</v>
      </c>
      <c r="D32" s="3">
        <v>1</v>
      </c>
      <c r="E32" s="3">
        <v>2</v>
      </c>
      <c r="F32" s="29" t="str">
        <f>IF(E32=1,G32&amp;" 골드",IF(E32=2,INDEX('02.CardData'!E:E,MATCH(G32,'02.CardData'!B:B,0)),IF(E32=3,INDEX('03.RelicData'!E:E,MATCH(G32,'03.RelicData'!A:A,0)),IF(E32=4,INDEX('06.PackData'!C:C,MATCH(G32,'06.PackData'!A:A,0)),"X"))))</f>
        <v>기억의 망치</v>
      </c>
      <c r="G32" s="6" t="s">
        <v>248</v>
      </c>
      <c r="H32" s="3">
        <v>1</v>
      </c>
    </row>
    <row r="33" spans="1:8" x14ac:dyDescent="0.3">
      <c r="A33" s="3">
        <f t="shared" si="0"/>
        <v>32</v>
      </c>
      <c r="B33" s="3">
        <v>1</v>
      </c>
      <c r="C33" s="3">
        <v>100</v>
      </c>
      <c r="D33" s="3">
        <v>1</v>
      </c>
      <c r="E33" s="3">
        <v>2</v>
      </c>
      <c r="F33" s="29" t="str">
        <f>IF(E33=1,G33&amp;" 골드",IF(E33=2,INDEX('02.CardData'!E:E,MATCH(G33,'02.CardData'!B:B,0)),IF(E33=3,INDEX('03.RelicData'!E:E,MATCH(G33,'03.RelicData'!A:A,0)),IF(E33=4,INDEX('06.PackData'!C:C,MATCH(G33,'06.PackData'!A:A,0)),"X"))))</f>
        <v>기억의 망치+</v>
      </c>
      <c r="G33" s="6" t="s">
        <v>249</v>
      </c>
      <c r="H33" s="3">
        <v>1</v>
      </c>
    </row>
    <row r="34" spans="1:8" x14ac:dyDescent="0.3">
      <c r="A34" s="3">
        <f t="shared" si="0"/>
        <v>33</v>
      </c>
      <c r="B34" s="3">
        <v>1</v>
      </c>
      <c r="C34" s="3">
        <v>100</v>
      </c>
      <c r="D34" s="3">
        <v>1</v>
      </c>
      <c r="E34" s="3">
        <v>2</v>
      </c>
      <c r="F34" s="29" t="str">
        <f>IF(E34=1,G34&amp;" 골드",IF(E34=2,INDEX('02.CardData'!E:E,MATCH(G34,'02.CardData'!B:B,0)),IF(E34=3,INDEX('03.RelicData'!E:E,MATCH(G34,'03.RelicData'!A:A,0)),IF(E34=4,INDEX('06.PackData'!C:C,MATCH(G34,'06.PackData'!A:A,0)),"X"))))</f>
        <v>균열 지층 분석</v>
      </c>
      <c r="G34" s="6" t="s">
        <v>250</v>
      </c>
      <c r="H34" s="3">
        <v>1</v>
      </c>
    </row>
    <row r="35" spans="1:8" x14ac:dyDescent="0.3">
      <c r="A35" s="3">
        <f t="shared" si="0"/>
        <v>34</v>
      </c>
      <c r="B35" s="3">
        <v>1</v>
      </c>
      <c r="C35" s="3">
        <v>100</v>
      </c>
      <c r="D35" s="3">
        <v>1</v>
      </c>
      <c r="E35" s="3">
        <v>2</v>
      </c>
      <c r="F35" s="29" t="str">
        <f>IF(E35=1,G35&amp;" 골드",IF(E35=2,INDEX('02.CardData'!E:E,MATCH(G35,'02.CardData'!B:B,0)),IF(E35=3,INDEX('03.RelicData'!E:E,MATCH(G35,'03.RelicData'!A:A,0)),IF(E35=4,INDEX('06.PackData'!C:C,MATCH(G35,'06.PackData'!A:A,0)),"X"))))</f>
        <v>균열 지층 분석+</v>
      </c>
      <c r="G35" s="6" t="s">
        <v>251</v>
      </c>
      <c r="H35" s="3">
        <v>1</v>
      </c>
    </row>
    <row r="36" spans="1:8" x14ac:dyDescent="0.3">
      <c r="A36" s="3">
        <f t="shared" si="0"/>
        <v>35</v>
      </c>
      <c r="B36" s="3">
        <v>1</v>
      </c>
      <c r="C36" s="3">
        <v>101</v>
      </c>
      <c r="D36" s="3">
        <v>1500</v>
      </c>
      <c r="E36" s="3">
        <v>2</v>
      </c>
      <c r="F36" s="29" t="str">
        <f>IF(E36=1,G36&amp;" 골드",IF(E36=2,INDEX('02.CardData'!E:E,MATCH(G36,'02.CardData'!B:B,0)),IF(E36=3,INDEX('03.RelicData'!E:E,MATCH(G36,'03.RelicData'!A:A,0)),IF(E36=4,INDEX('06.PackData'!C:C,MATCH(G36,'06.PackData'!A:A,0)),"X"))))</f>
        <v>삽</v>
      </c>
      <c r="G36" s="3" t="s">
        <v>1133</v>
      </c>
      <c r="H36" s="3">
        <v>1</v>
      </c>
    </row>
    <row r="37" spans="1:8" x14ac:dyDescent="0.3">
      <c r="A37" s="3">
        <f t="shared" si="0"/>
        <v>36</v>
      </c>
      <c r="B37" s="3">
        <v>1</v>
      </c>
      <c r="C37" s="3">
        <v>101</v>
      </c>
      <c r="D37" s="3">
        <v>1500</v>
      </c>
      <c r="E37" s="3">
        <v>2</v>
      </c>
      <c r="F37" s="29" t="str">
        <f>IF(E37=1,G37&amp;" 골드",IF(E37=2,INDEX('02.CardData'!E:E,MATCH(G37,'02.CardData'!B:B,0)),IF(E37=3,INDEX('03.RelicData'!E:E,MATCH(G37,'03.RelicData'!A:A,0)),IF(E37=4,INDEX('06.PackData'!C:C,MATCH(G37,'06.PackData'!A:A,0)),"X"))))</f>
        <v>갈퀴</v>
      </c>
      <c r="G37" s="3" t="s">
        <v>1134</v>
      </c>
      <c r="H37" s="3">
        <v>1</v>
      </c>
    </row>
    <row r="38" spans="1:8" x14ac:dyDescent="0.3">
      <c r="A38" s="3">
        <f t="shared" si="0"/>
        <v>37</v>
      </c>
      <c r="B38" s="3">
        <v>1</v>
      </c>
      <c r="C38" s="3">
        <v>101</v>
      </c>
      <c r="D38" s="3">
        <v>1500</v>
      </c>
      <c r="E38" s="3">
        <v>2</v>
      </c>
      <c r="F38" s="29" t="str">
        <f>IF(E38=1,G38&amp;" 골드",IF(E38=2,INDEX('02.CardData'!E:E,MATCH(G38,'02.CardData'!B:B,0)),IF(E38=3,INDEX('03.RelicData'!E:E,MATCH(G38,'03.RelicData'!A:A,0)),IF(E38=4,INDEX('06.PackData'!C:C,MATCH(G38,'06.PackData'!A:A,0)),"X"))))</f>
        <v>황금 삽</v>
      </c>
      <c r="G38" s="3" t="s">
        <v>169</v>
      </c>
      <c r="H38" s="3">
        <v>1</v>
      </c>
    </row>
    <row r="39" spans="1:8" x14ac:dyDescent="0.3">
      <c r="A39" s="3">
        <f t="shared" si="0"/>
        <v>38</v>
      </c>
      <c r="B39" s="3">
        <v>1</v>
      </c>
      <c r="C39" s="3">
        <v>101</v>
      </c>
      <c r="D39" s="3">
        <v>1500</v>
      </c>
      <c r="E39" s="3">
        <v>2</v>
      </c>
      <c r="F39" s="29" t="str">
        <f>IF(E39=1,G39&amp;" 골드",IF(E39=2,INDEX('02.CardData'!E:E,MATCH(G39,'02.CardData'!B:B,0)),IF(E39=3,INDEX('03.RelicData'!E:E,MATCH(G39,'03.RelicData'!A:A,0)),IF(E39=4,INDEX('06.PackData'!C:C,MATCH(G39,'06.PackData'!A:A,0)),"X"))))</f>
        <v>도끼</v>
      </c>
      <c r="G39" s="3" t="s">
        <v>171</v>
      </c>
      <c r="H39" s="3">
        <v>1</v>
      </c>
    </row>
    <row r="40" spans="1:8" x14ac:dyDescent="0.3">
      <c r="A40" s="3">
        <f t="shared" si="0"/>
        <v>39</v>
      </c>
      <c r="B40" s="3">
        <v>1</v>
      </c>
      <c r="C40" s="3">
        <v>101</v>
      </c>
      <c r="D40" s="3">
        <v>429</v>
      </c>
      <c r="E40" s="3">
        <v>2</v>
      </c>
      <c r="F40" s="29" t="str">
        <f>IF(E40=1,G40&amp;" 골드",IF(E40=2,INDEX('02.CardData'!E:E,MATCH(G40,'02.CardData'!B:B,0)),IF(E40=3,INDEX('03.RelicData'!E:E,MATCH(G40,'03.RelicData'!A:A,0)),IF(E40=4,INDEX('06.PackData'!C:C,MATCH(G40,'06.PackData'!A:A,0)),"X"))))</f>
        <v>십자 끌</v>
      </c>
      <c r="G40" s="3" t="s">
        <v>1135</v>
      </c>
      <c r="H40" s="3">
        <v>1</v>
      </c>
    </row>
    <row r="41" spans="1:8" x14ac:dyDescent="0.3">
      <c r="A41" s="3">
        <f t="shared" si="0"/>
        <v>40</v>
      </c>
      <c r="B41" s="3">
        <v>1</v>
      </c>
      <c r="C41" s="3">
        <v>101</v>
      </c>
      <c r="D41" s="3">
        <v>429</v>
      </c>
      <c r="E41" s="3">
        <v>2</v>
      </c>
      <c r="F41" s="29" t="str">
        <f>IF(E41=1,G41&amp;" 골드",IF(E41=2,INDEX('02.CardData'!E:E,MATCH(G41,'02.CardData'!B:B,0)),IF(E41=3,INDEX('03.RelicData'!E:E,MATCH(G41,'03.RelicData'!A:A,0)),IF(E41=4,INDEX('06.PackData'!C:C,MATCH(G41,'06.PackData'!A:A,0)),"X"))))</f>
        <v>곡괭이</v>
      </c>
      <c r="G41" s="3" t="s">
        <v>175</v>
      </c>
      <c r="H41" s="3">
        <v>1</v>
      </c>
    </row>
    <row r="42" spans="1:8" x14ac:dyDescent="0.3">
      <c r="A42" s="3">
        <f t="shared" si="0"/>
        <v>41</v>
      </c>
      <c r="B42" s="3">
        <v>1</v>
      </c>
      <c r="C42" s="3">
        <v>101</v>
      </c>
      <c r="D42" s="3">
        <v>429</v>
      </c>
      <c r="E42" s="3">
        <v>2</v>
      </c>
      <c r="F42" s="29" t="str">
        <f>IF(E42=1,G42&amp;" 골드",IF(E42=2,INDEX('02.CardData'!E:E,MATCH(G42,'02.CardData'!B:B,0)),IF(E42=3,INDEX('03.RelicData'!E:E,MATCH(G42,'03.RelicData'!A:A,0)),IF(E42=4,INDEX('06.PackData'!C:C,MATCH(G42,'06.PackData'!A:A,0)),"X"))))</f>
        <v>새총</v>
      </c>
      <c r="G42" s="3" t="s">
        <v>177</v>
      </c>
      <c r="H42" s="3">
        <v>1</v>
      </c>
    </row>
    <row r="43" spans="1:8" x14ac:dyDescent="0.3">
      <c r="A43" s="3">
        <f t="shared" si="0"/>
        <v>42</v>
      </c>
      <c r="B43" s="3">
        <v>1</v>
      </c>
      <c r="C43" s="3">
        <v>101</v>
      </c>
      <c r="D43" s="3">
        <v>429</v>
      </c>
      <c r="E43" s="3">
        <v>2</v>
      </c>
      <c r="F43" s="29" t="str">
        <f>IF(E43=1,G43&amp;" 골드",IF(E43=2,INDEX('02.CardData'!E:E,MATCH(G43,'02.CardData'!B:B,0)),IF(E43=3,INDEX('03.RelicData'!E:E,MATCH(G43,'03.RelicData'!A:A,0)),IF(E43=4,INDEX('06.PackData'!C:C,MATCH(G43,'06.PackData'!A:A,0)),"X"))))</f>
        <v>모서리 파쇄 해머</v>
      </c>
      <c r="G43" s="3" t="s">
        <v>179</v>
      </c>
      <c r="H43" s="3">
        <v>1</v>
      </c>
    </row>
    <row r="44" spans="1:8" x14ac:dyDescent="0.3">
      <c r="A44" s="3">
        <f t="shared" si="0"/>
        <v>43</v>
      </c>
      <c r="B44" s="3">
        <v>1</v>
      </c>
      <c r="C44" s="3">
        <v>101</v>
      </c>
      <c r="D44" s="3">
        <v>428</v>
      </c>
      <c r="E44" s="3">
        <v>2</v>
      </c>
      <c r="F44" s="29" t="str">
        <f>IF(E44=1,G44&amp;" 골드",IF(E44=2,INDEX('02.CardData'!E:E,MATCH(G44,'02.CardData'!B:B,0)),IF(E44=3,INDEX('03.RelicData'!E:E,MATCH(G44,'03.RelicData'!A:A,0)),IF(E44=4,INDEX('06.PackData'!C:C,MATCH(G44,'06.PackData'!A:A,0)),"X"))))</f>
        <v>집중형 십자 드릴</v>
      </c>
      <c r="G44" s="3" t="s">
        <v>181</v>
      </c>
      <c r="H44" s="3">
        <v>1</v>
      </c>
    </row>
    <row r="45" spans="1:8" x14ac:dyDescent="0.3">
      <c r="A45" s="3">
        <f t="shared" si="0"/>
        <v>44</v>
      </c>
      <c r="B45" s="3">
        <v>1</v>
      </c>
      <c r="C45" s="3">
        <v>101</v>
      </c>
      <c r="D45" s="3">
        <v>428</v>
      </c>
      <c r="E45" s="3">
        <v>2</v>
      </c>
      <c r="F45" s="29" t="str">
        <f>IF(E45=1,G45&amp;" 골드",IF(E45=2,INDEX('02.CardData'!E:E,MATCH(G45,'02.CardData'!B:B,0)),IF(E45=3,INDEX('03.RelicData'!E:E,MATCH(G45,'03.RelicData'!A:A,0)),IF(E45=4,INDEX('06.PackData'!C:C,MATCH(G45,'06.PackData'!A:A,0)),"X"))))</f>
        <v>황금 도끼</v>
      </c>
      <c r="G45" s="3" t="s">
        <v>183</v>
      </c>
      <c r="H45" s="3">
        <v>1</v>
      </c>
    </row>
    <row r="46" spans="1:8" x14ac:dyDescent="0.3">
      <c r="A46" s="3">
        <f t="shared" si="0"/>
        <v>45</v>
      </c>
      <c r="B46" s="3">
        <v>1</v>
      </c>
      <c r="C46" s="3">
        <v>101</v>
      </c>
      <c r="D46" s="3">
        <v>428</v>
      </c>
      <c r="E46" s="3">
        <v>2</v>
      </c>
      <c r="F46" s="29" t="str">
        <f>IF(E46=1,G46&amp;" 골드",IF(E46=2,INDEX('02.CardData'!E:E,MATCH(G46,'02.CardData'!B:B,0)),IF(E46=3,INDEX('03.RelicData'!E:E,MATCH(G46,'03.RelicData'!A:A,0)),IF(E46=4,INDEX('06.PackData'!C:C,MATCH(G46,'06.PackData'!A:A,0)),"X"))))</f>
        <v>대형 가위</v>
      </c>
      <c r="G46" s="3" t="s">
        <v>1136</v>
      </c>
      <c r="H46" s="3">
        <v>1</v>
      </c>
    </row>
    <row r="47" spans="1:8" x14ac:dyDescent="0.3">
      <c r="A47" s="3">
        <f t="shared" si="0"/>
        <v>46</v>
      </c>
      <c r="B47" s="3">
        <v>1</v>
      </c>
      <c r="C47" s="3">
        <v>101</v>
      </c>
      <c r="D47" s="3">
        <v>1000</v>
      </c>
      <c r="E47" s="3">
        <v>2</v>
      </c>
      <c r="F47" s="29" t="str">
        <f>IF(E47=1,G47&amp;" 골드",IF(E47=2,INDEX('02.CardData'!E:E,MATCH(G47,'02.CardData'!B:B,0)),IF(E47=3,INDEX('03.RelicData'!E:E,MATCH(G47,'03.RelicData'!A:A,0)),IF(E47=4,INDEX('06.PackData'!C:C,MATCH(G47,'06.PackData'!A:A,0)),"X"))))</f>
        <v>균열 지층 분석</v>
      </c>
      <c r="G47" s="3" t="s">
        <v>1138</v>
      </c>
      <c r="H47" s="3">
        <v>1</v>
      </c>
    </row>
    <row r="48" spans="1:8" x14ac:dyDescent="0.3">
      <c r="A48" s="3">
        <f t="shared" si="0"/>
        <v>47</v>
      </c>
      <c r="B48" s="3">
        <v>1</v>
      </c>
      <c r="C48" s="3">
        <v>102</v>
      </c>
      <c r="D48" s="3">
        <v>750</v>
      </c>
      <c r="E48" s="3">
        <v>2</v>
      </c>
      <c r="F48" s="29" t="str">
        <f>IF(E48=1,G48&amp;" 골드",IF(E48=2,INDEX('02.CardData'!E:E,MATCH(G48,'02.CardData'!B:B,0)),IF(E48=3,INDEX('03.RelicData'!E:E,MATCH(G48,'03.RelicData'!A:A,0)),IF(E48=4,INDEX('06.PackData'!C:C,MATCH(G48,'06.PackData'!A:A,0)),"X"))))</f>
        <v>삽</v>
      </c>
      <c r="G48" s="3" t="s">
        <v>1133</v>
      </c>
      <c r="H48" s="3">
        <v>1</v>
      </c>
    </row>
    <row r="49" spans="1:8" x14ac:dyDescent="0.3">
      <c r="A49" s="3">
        <f t="shared" si="0"/>
        <v>48</v>
      </c>
      <c r="B49" s="3">
        <v>1</v>
      </c>
      <c r="C49" s="3">
        <v>102</v>
      </c>
      <c r="D49" s="3">
        <v>750</v>
      </c>
      <c r="E49" s="3">
        <v>2</v>
      </c>
      <c r="F49" s="29" t="str">
        <f>IF(E49=1,G49&amp;" 골드",IF(E49=2,INDEX('02.CardData'!E:E,MATCH(G49,'02.CardData'!B:B,0)),IF(E49=3,INDEX('03.RelicData'!E:E,MATCH(G49,'03.RelicData'!A:A,0)),IF(E49=4,INDEX('06.PackData'!C:C,MATCH(G49,'06.PackData'!A:A,0)),"X"))))</f>
        <v>갈퀴</v>
      </c>
      <c r="G49" s="3" t="s">
        <v>1134</v>
      </c>
      <c r="H49" s="3">
        <v>1</v>
      </c>
    </row>
    <row r="50" spans="1:8" x14ac:dyDescent="0.3">
      <c r="A50" s="3">
        <f t="shared" si="0"/>
        <v>49</v>
      </c>
      <c r="B50" s="3">
        <v>1</v>
      </c>
      <c r="C50" s="3">
        <v>102</v>
      </c>
      <c r="D50" s="3">
        <v>750</v>
      </c>
      <c r="E50" s="3">
        <v>2</v>
      </c>
      <c r="F50" s="29" t="str">
        <f>IF(E50=1,G50&amp;" 골드",IF(E50=2,INDEX('02.CardData'!E:E,MATCH(G50,'02.CardData'!B:B,0)),IF(E50=3,INDEX('03.RelicData'!E:E,MATCH(G50,'03.RelicData'!A:A,0)),IF(E50=4,INDEX('06.PackData'!C:C,MATCH(G50,'06.PackData'!A:A,0)),"X"))))</f>
        <v>황금 삽</v>
      </c>
      <c r="G50" s="3" t="s">
        <v>169</v>
      </c>
      <c r="H50" s="3">
        <v>1</v>
      </c>
    </row>
    <row r="51" spans="1:8" x14ac:dyDescent="0.3">
      <c r="A51" s="3">
        <f t="shared" si="0"/>
        <v>50</v>
      </c>
      <c r="B51" s="3">
        <v>1</v>
      </c>
      <c r="C51" s="3">
        <v>102</v>
      </c>
      <c r="D51" s="3">
        <v>750</v>
      </c>
      <c r="E51" s="3">
        <v>2</v>
      </c>
      <c r="F51" s="29" t="str">
        <f>IF(E51=1,G51&amp;" 골드",IF(E51=2,INDEX('02.CardData'!E:E,MATCH(G51,'02.CardData'!B:B,0)),IF(E51=3,INDEX('03.RelicData'!E:E,MATCH(G51,'03.RelicData'!A:A,0)),IF(E51=4,INDEX('06.PackData'!C:C,MATCH(G51,'06.PackData'!A:A,0)),"X"))))</f>
        <v>도끼</v>
      </c>
      <c r="G51" s="3" t="s">
        <v>171</v>
      </c>
      <c r="H51" s="3">
        <v>1</v>
      </c>
    </row>
    <row r="52" spans="1:8" x14ac:dyDescent="0.3">
      <c r="A52" s="3">
        <f t="shared" si="0"/>
        <v>51</v>
      </c>
      <c r="B52" s="3">
        <v>1</v>
      </c>
      <c r="C52" s="3">
        <v>102</v>
      </c>
      <c r="D52" s="3">
        <v>215</v>
      </c>
      <c r="E52" s="3">
        <v>2</v>
      </c>
      <c r="F52" s="29" t="str">
        <f>IF(E52=1,G52&amp;" 골드",IF(E52=2,INDEX('02.CardData'!E:E,MATCH(G52,'02.CardData'!B:B,0)),IF(E52=3,INDEX('03.RelicData'!E:E,MATCH(G52,'03.RelicData'!A:A,0)),IF(E52=4,INDEX('06.PackData'!C:C,MATCH(G52,'06.PackData'!A:A,0)),"X"))))</f>
        <v>십자 끌</v>
      </c>
      <c r="G52" s="3" t="s">
        <v>1135</v>
      </c>
      <c r="H52" s="3">
        <v>1</v>
      </c>
    </row>
    <row r="53" spans="1:8" x14ac:dyDescent="0.3">
      <c r="A53" s="3">
        <f t="shared" si="0"/>
        <v>52</v>
      </c>
      <c r="B53" s="3">
        <v>1</v>
      </c>
      <c r="C53" s="3">
        <v>102</v>
      </c>
      <c r="D53" s="3">
        <v>215</v>
      </c>
      <c r="E53" s="3">
        <v>2</v>
      </c>
      <c r="F53" s="29" t="str">
        <f>IF(E53=1,G53&amp;" 골드",IF(E53=2,INDEX('02.CardData'!E:E,MATCH(G53,'02.CardData'!B:B,0)),IF(E53=3,INDEX('03.RelicData'!E:E,MATCH(G53,'03.RelicData'!A:A,0)),IF(E53=4,INDEX('06.PackData'!C:C,MATCH(G53,'06.PackData'!A:A,0)),"X"))))</f>
        <v>곡괭이</v>
      </c>
      <c r="G53" s="3" t="s">
        <v>175</v>
      </c>
      <c r="H53" s="3">
        <v>1</v>
      </c>
    </row>
    <row r="54" spans="1:8" x14ac:dyDescent="0.3">
      <c r="A54" s="3">
        <f t="shared" si="0"/>
        <v>53</v>
      </c>
      <c r="B54" s="3">
        <v>1</v>
      </c>
      <c r="C54" s="3">
        <v>102</v>
      </c>
      <c r="D54" s="3">
        <v>214</v>
      </c>
      <c r="E54" s="3">
        <v>2</v>
      </c>
      <c r="F54" s="29" t="str">
        <f>IF(E54=1,G54&amp;" 골드",IF(E54=2,INDEX('02.CardData'!E:E,MATCH(G54,'02.CardData'!B:B,0)),IF(E54=3,INDEX('03.RelicData'!E:E,MATCH(G54,'03.RelicData'!A:A,0)),IF(E54=4,INDEX('06.PackData'!C:C,MATCH(G54,'06.PackData'!A:A,0)),"X"))))</f>
        <v>새총</v>
      </c>
      <c r="G54" s="3" t="s">
        <v>177</v>
      </c>
      <c r="H54" s="3">
        <v>1</v>
      </c>
    </row>
    <row r="55" spans="1:8" x14ac:dyDescent="0.3">
      <c r="A55" s="3">
        <f t="shared" si="0"/>
        <v>54</v>
      </c>
      <c r="B55" s="3">
        <v>1</v>
      </c>
      <c r="C55" s="3">
        <v>102</v>
      </c>
      <c r="D55" s="3">
        <v>214</v>
      </c>
      <c r="E55" s="3">
        <v>2</v>
      </c>
      <c r="F55" s="29" t="str">
        <f>IF(E55=1,G55&amp;" 골드",IF(E55=2,INDEX('02.CardData'!E:E,MATCH(G55,'02.CardData'!B:B,0)),IF(E55=3,INDEX('03.RelicData'!E:E,MATCH(G55,'03.RelicData'!A:A,0)),IF(E55=4,INDEX('06.PackData'!C:C,MATCH(G55,'06.PackData'!A:A,0)),"X"))))</f>
        <v>모서리 파쇄 해머</v>
      </c>
      <c r="G55" s="3" t="s">
        <v>179</v>
      </c>
      <c r="H55" s="3">
        <v>1</v>
      </c>
    </row>
    <row r="56" spans="1:8" x14ac:dyDescent="0.3">
      <c r="A56" s="3">
        <f t="shared" si="0"/>
        <v>55</v>
      </c>
      <c r="B56" s="3">
        <v>1</v>
      </c>
      <c r="C56" s="3">
        <v>102</v>
      </c>
      <c r="D56" s="3">
        <v>214</v>
      </c>
      <c r="E56" s="3">
        <v>2</v>
      </c>
      <c r="F56" s="29" t="str">
        <f>IF(E56=1,G56&amp;" 골드",IF(E56=2,INDEX('02.CardData'!E:E,MATCH(G56,'02.CardData'!B:B,0)),IF(E56=3,INDEX('03.RelicData'!E:E,MATCH(G56,'03.RelicData'!A:A,0)),IF(E56=4,INDEX('06.PackData'!C:C,MATCH(G56,'06.PackData'!A:A,0)),"X"))))</f>
        <v>집중형 십자 드릴</v>
      </c>
      <c r="G56" s="3" t="s">
        <v>181</v>
      </c>
      <c r="H56" s="3">
        <v>1</v>
      </c>
    </row>
    <row r="57" spans="1:8" x14ac:dyDescent="0.3">
      <c r="A57" s="3">
        <f t="shared" si="0"/>
        <v>56</v>
      </c>
      <c r="B57" s="3">
        <v>1</v>
      </c>
      <c r="C57" s="3">
        <v>102</v>
      </c>
      <c r="D57" s="3">
        <v>214</v>
      </c>
      <c r="E57" s="3">
        <v>2</v>
      </c>
      <c r="F57" s="29" t="str">
        <f>IF(E57=1,G57&amp;" 골드",IF(E57=2,INDEX('02.CardData'!E:E,MATCH(G57,'02.CardData'!B:B,0)),IF(E57=3,INDEX('03.RelicData'!E:E,MATCH(G57,'03.RelicData'!A:A,0)),IF(E57=4,INDEX('06.PackData'!C:C,MATCH(G57,'06.PackData'!A:A,0)),"X"))))</f>
        <v>황금 도끼</v>
      </c>
      <c r="G57" s="3" t="s">
        <v>183</v>
      </c>
      <c r="H57" s="3">
        <v>1</v>
      </c>
    </row>
    <row r="58" spans="1:8" x14ac:dyDescent="0.3">
      <c r="A58" s="3">
        <f t="shared" si="0"/>
        <v>57</v>
      </c>
      <c r="B58" s="3">
        <v>1</v>
      </c>
      <c r="C58" s="3">
        <v>102</v>
      </c>
      <c r="D58" s="3">
        <v>214</v>
      </c>
      <c r="E58" s="3">
        <v>2</v>
      </c>
      <c r="F58" s="29" t="str">
        <f>IF(E58=1,G58&amp;" 골드",IF(E58=2,INDEX('02.CardData'!E:E,MATCH(G58,'02.CardData'!B:B,0)),IF(E58=3,INDEX('03.RelicData'!E:E,MATCH(G58,'03.RelicData'!A:A,0)),IF(E58=4,INDEX('06.PackData'!C:C,MATCH(G58,'06.PackData'!A:A,0)),"X"))))</f>
        <v>대형 가위</v>
      </c>
      <c r="G58" s="3" t="s">
        <v>1136</v>
      </c>
      <c r="H58" s="3">
        <v>1</v>
      </c>
    </row>
    <row r="59" spans="1:8" x14ac:dyDescent="0.3">
      <c r="A59" s="3">
        <f t="shared" si="0"/>
        <v>58</v>
      </c>
      <c r="B59" s="3">
        <v>1</v>
      </c>
      <c r="C59" s="3">
        <v>102</v>
      </c>
      <c r="D59" s="3">
        <v>500</v>
      </c>
      <c r="E59" s="3">
        <v>2</v>
      </c>
      <c r="F59" s="29" t="str">
        <f>IF(E59=1,G59&amp;" 골드",IF(E59=2,INDEX('02.CardData'!E:E,MATCH(G59,'02.CardData'!B:B,0)),IF(E59=3,INDEX('03.RelicData'!E:E,MATCH(G59,'03.RelicData'!A:A,0)),IF(E59=4,INDEX('06.PackData'!C:C,MATCH(G59,'06.PackData'!A:A,0)),"X"))))</f>
        <v>균열 지층 분석</v>
      </c>
      <c r="G59" s="3" t="s">
        <v>1138</v>
      </c>
      <c r="H59" s="3">
        <v>1</v>
      </c>
    </row>
    <row r="60" spans="1:8" x14ac:dyDescent="0.3">
      <c r="A60" s="3">
        <f t="shared" si="0"/>
        <v>59</v>
      </c>
      <c r="B60" s="3">
        <v>1</v>
      </c>
      <c r="C60" s="3">
        <v>102</v>
      </c>
      <c r="D60" s="3">
        <v>750</v>
      </c>
      <c r="E60" s="3">
        <v>2</v>
      </c>
      <c r="F60" s="29" t="str">
        <f>IF(E60=1,G60&amp;" 골드",IF(E60=2,INDEX('02.CardData'!E:E,MATCH(G60,'02.CardData'!B:B,0)),IF(E60=3,INDEX('03.RelicData'!E:E,MATCH(G60,'03.RelicData'!A:A,0)),IF(E60=4,INDEX('06.PackData'!C:C,MATCH(G60,'06.PackData'!A:A,0)),"X"))))</f>
        <v>삽+</v>
      </c>
      <c r="G60" s="3" t="s">
        <v>167</v>
      </c>
      <c r="H60" s="3">
        <v>1</v>
      </c>
    </row>
    <row r="61" spans="1:8" x14ac:dyDescent="0.3">
      <c r="A61" s="3">
        <f t="shared" si="0"/>
        <v>60</v>
      </c>
      <c r="B61" s="3">
        <v>1</v>
      </c>
      <c r="C61" s="3">
        <v>102</v>
      </c>
      <c r="D61" s="3">
        <v>750</v>
      </c>
      <c r="E61" s="3">
        <v>2</v>
      </c>
      <c r="F61" s="29" t="str">
        <f>IF(E61=1,G61&amp;" 골드",IF(E61=2,INDEX('02.CardData'!E:E,MATCH(G61,'02.CardData'!B:B,0)),IF(E61=3,INDEX('03.RelicData'!E:E,MATCH(G61,'03.RelicData'!A:A,0)),IF(E61=4,INDEX('06.PackData'!C:C,MATCH(G61,'06.PackData'!A:A,0)),"X"))))</f>
        <v>갈퀴+</v>
      </c>
      <c r="G61" s="3" t="s">
        <v>168</v>
      </c>
      <c r="H61" s="3">
        <v>1</v>
      </c>
    </row>
    <row r="62" spans="1:8" x14ac:dyDescent="0.3">
      <c r="A62" s="3">
        <f t="shared" si="0"/>
        <v>61</v>
      </c>
      <c r="B62" s="3">
        <v>1</v>
      </c>
      <c r="C62" s="3">
        <v>102</v>
      </c>
      <c r="D62" s="3">
        <v>750</v>
      </c>
      <c r="E62" s="3">
        <v>2</v>
      </c>
      <c r="F62" s="29" t="str">
        <f>IF(E62=1,G62&amp;" 골드",IF(E62=2,INDEX('02.CardData'!E:E,MATCH(G62,'02.CardData'!B:B,0)),IF(E62=3,INDEX('03.RelicData'!E:E,MATCH(G62,'03.RelicData'!A:A,0)),IF(E62=4,INDEX('06.PackData'!C:C,MATCH(G62,'06.PackData'!A:A,0)),"X"))))</f>
        <v>황금 삽+</v>
      </c>
      <c r="G62" s="3" t="s">
        <v>170</v>
      </c>
      <c r="H62" s="3">
        <v>1</v>
      </c>
    </row>
    <row r="63" spans="1:8" x14ac:dyDescent="0.3">
      <c r="A63" s="3">
        <f t="shared" si="0"/>
        <v>62</v>
      </c>
      <c r="B63" s="3">
        <v>1</v>
      </c>
      <c r="C63" s="3">
        <v>102</v>
      </c>
      <c r="D63" s="3">
        <v>750</v>
      </c>
      <c r="E63" s="3">
        <v>2</v>
      </c>
      <c r="F63" s="29" t="str">
        <f>IF(E63=1,G63&amp;" 골드",IF(E63=2,INDEX('02.CardData'!E:E,MATCH(G63,'02.CardData'!B:B,0)),IF(E63=3,INDEX('03.RelicData'!E:E,MATCH(G63,'03.RelicData'!A:A,0)),IF(E63=4,INDEX('06.PackData'!C:C,MATCH(G63,'06.PackData'!A:A,0)),"X"))))</f>
        <v>도끼+</v>
      </c>
      <c r="G63" s="3" t="s">
        <v>172</v>
      </c>
      <c r="H63" s="3">
        <v>1</v>
      </c>
    </row>
    <row r="64" spans="1:8" x14ac:dyDescent="0.3">
      <c r="A64" s="3">
        <f t="shared" si="0"/>
        <v>63</v>
      </c>
      <c r="B64" s="3">
        <v>1</v>
      </c>
      <c r="C64" s="3">
        <v>102</v>
      </c>
      <c r="D64" s="3">
        <v>215</v>
      </c>
      <c r="E64" s="3">
        <v>2</v>
      </c>
      <c r="F64" s="29" t="str">
        <f>IF(E64=1,G64&amp;" 골드",IF(E64=2,INDEX('02.CardData'!E:E,MATCH(G64,'02.CardData'!B:B,0)),IF(E64=3,INDEX('03.RelicData'!E:E,MATCH(G64,'03.RelicData'!A:A,0)),IF(E64=4,INDEX('06.PackData'!C:C,MATCH(G64,'06.PackData'!A:A,0)),"X"))))</f>
        <v>십자 끌+</v>
      </c>
      <c r="G64" s="3" t="s">
        <v>1183</v>
      </c>
      <c r="H64" s="3">
        <v>1</v>
      </c>
    </row>
    <row r="65" spans="1:8" x14ac:dyDescent="0.3">
      <c r="A65" s="3">
        <f t="shared" si="0"/>
        <v>64</v>
      </c>
      <c r="B65" s="3">
        <v>1</v>
      </c>
      <c r="C65" s="3">
        <v>102</v>
      </c>
      <c r="D65" s="3">
        <v>215</v>
      </c>
      <c r="E65" s="3">
        <v>2</v>
      </c>
      <c r="F65" s="29" t="str">
        <f>IF(E65=1,G65&amp;" 골드",IF(E65=2,INDEX('02.CardData'!E:E,MATCH(G65,'02.CardData'!B:B,0)),IF(E65=3,INDEX('03.RelicData'!E:E,MATCH(G65,'03.RelicData'!A:A,0)),IF(E65=4,INDEX('06.PackData'!C:C,MATCH(G65,'06.PackData'!A:A,0)),"X"))))</f>
        <v>곡괭이+</v>
      </c>
      <c r="G65" s="3" t="s">
        <v>176</v>
      </c>
      <c r="H65" s="3">
        <v>1</v>
      </c>
    </row>
    <row r="66" spans="1:8" x14ac:dyDescent="0.3">
      <c r="A66" s="3">
        <f t="shared" si="0"/>
        <v>65</v>
      </c>
      <c r="B66" s="3">
        <v>1</v>
      </c>
      <c r="C66" s="3">
        <v>102</v>
      </c>
      <c r="D66" s="3">
        <v>214</v>
      </c>
      <c r="E66" s="3">
        <v>2</v>
      </c>
      <c r="F66" s="29" t="str">
        <f>IF(E66=1,G66&amp;" 골드",IF(E66=2,INDEX('02.CardData'!E:E,MATCH(G66,'02.CardData'!B:B,0)),IF(E66=3,INDEX('03.RelicData'!E:E,MATCH(G66,'03.RelicData'!A:A,0)),IF(E66=4,INDEX('06.PackData'!C:C,MATCH(G66,'06.PackData'!A:A,0)),"X"))))</f>
        <v>새총+</v>
      </c>
      <c r="G66" s="3" t="s">
        <v>178</v>
      </c>
      <c r="H66" s="3">
        <v>1</v>
      </c>
    </row>
    <row r="67" spans="1:8" x14ac:dyDescent="0.3">
      <c r="A67" s="3">
        <f t="shared" ref="A67:A71" si="1">ROW()-1</f>
        <v>66</v>
      </c>
      <c r="B67" s="3">
        <v>1</v>
      </c>
      <c r="C67" s="3">
        <v>102</v>
      </c>
      <c r="D67" s="3">
        <v>214</v>
      </c>
      <c r="E67" s="3">
        <v>2</v>
      </c>
      <c r="F67" s="29" t="str">
        <f>IF(E67=1,G67&amp;" 골드",IF(E67=2,INDEX('02.CardData'!E:E,MATCH(G67,'02.CardData'!B:B,0)),IF(E67=3,INDEX('03.RelicData'!E:E,MATCH(G67,'03.RelicData'!A:A,0)),IF(E67=4,INDEX('06.PackData'!C:C,MATCH(G67,'06.PackData'!A:A,0)),"X"))))</f>
        <v>모서리 파쇄 해머+</v>
      </c>
      <c r="G67" s="3" t="s">
        <v>180</v>
      </c>
      <c r="H67" s="3">
        <v>1</v>
      </c>
    </row>
    <row r="68" spans="1:8" x14ac:dyDescent="0.3">
      <c r="A68" s="3">
        <f t="shared" si="1"/>
        <v>67</v>
      </c>
      <c r="B68" s="3">
        <v>1</v>
      </c>
      <c r="C68" s="3">
        <v>102</v>
      </c>
      <c r="D68" s="3">
        <v>214</v>
      </c>
      <c r="E68" s="3">
        <v>2</v>
      </c>
      <c r="F68" s="29" t="str">
        <f>IF(E68=1,G68&amp;" 골드",IF(E68=2,INDEX('02.CardData'!E:E,MATCH(G68,'02.CardData'!B:B,0)),IF(E68=3,INDEX('03.RelicData'!E:E,MATCH(G68,'03.RelicData'!A:A,0)),IF(E68=4,INDEX('06.PackData'!C:C,MATCH(G68,'06.PackData'!A:A,0)),"X"))))</f>
        <v>집중형 십자 드릴+</v>
      </c>
      <c r="G68" s="3" t="s">
        <v>182</v>
      </c>
      <c r="H68" s="3">
        <v>1</v>
      </c>
    </row>
    <row r="69" spans="1:8" x14ac:dyDescent="0.3">
      <c r="A69" s="3">
        <f t="shared" si="1"/>
        <v>68</v>
      </c>
      <c r="B69" s="3">
        <v>1</v>
      </c>
      <c r="C69" s="3">
        <v>102</v>
      </c>
      <c r="D69" s="3">
        <v>214</v>
      </c>
      <c r="E69" s="3">
        <v>2</v>
      </c>
      <c r="F69" s="29" t="str">
        <f>IF(E69=1,G69&amp;" 골드",IF(E69=2,INDEX('02.CardData'!E:E,MATCH(G69,'02.CardData'!B:B,0)),IF(E69=3,INDEX('03.RelicData'!E:E,MATCH(G69,'03.RelicData'!A:A,0)),IF(E69=4,INDEX('06.PackData'!C:C,MATCH(G69,'06.PackData'!A:A,0)),"X"))))</f>
        <v>황금 도끼+</v>
      </c>
      <c r="G69" s="3" t="s">
        <v>184</v>
      </c>
      <c r="H69" s="3">
        <v>1</v>
      </c>
    </row>
    <row r="70" spans="1:8" x14ac:dyDescent="0.3">
      <c r="A70" s="3">
        <f t="shared" si="1"/>
        <v>69</v>
      </c>
      <c r="B70" s="3">
        <v>1</v>
      </c>
      <c r="C70" s="3">
        <v>102</v>
      </c>
      <c r="D70" s="3">
        <v>214</v>
      </c>
      <c r="E70" s="3">
        <v>2</v>
      </c>
      <c r="F70" s="29" t="str">
        <f>IF(E70=1,G70&amp;" 골드",IF(E70=2,INDEX('02.CardData'!E:E,MATCH(G70,'02.CardData'!B:B,0)),IF(E70=3,INDEX('03.RelicData'!E:E,MATCH(G70,'03.RelicData'!A:A,0)),IF(E70=4,INDEX('06.PackData'!C:C,MATCH(G70,'06.PackData'!A:A,0)),"X"))))</f>
        <v>대형 가위+</v>
      </c>
      <c r="G70" s="3" t="s">
        <v>1184</v>
      </c>
      <c r="H70" s="3">
        <v>1</v>
      </c>
    </row>
    <row r="71" spans="1:8" x14ac:dyDescent="0.3">
      <c r="A71" s="3">
        <f t="shared" si="1"/>
        <v>70</v>
      </c>
      <c r="B71" s="3">
        <v>1</v>
      </c>
      <c r="C71" s="3">
        <v>102</v>
      </c>
      <c r="D71" s="3">
        <v>500</v>
      </c>
      <c r="E71" s="3">
        <v>2</v>
      </c>
      <c r="F71" s="29" t="str">
        <f>IF(E71=1,G71&amp;" 골드",IF(E71=2,INDEX('02.CardData'!E:E,MATCH(G71,'02.CardData'!B:B,0)),IF(E71=3,INDEX('03.RelicData'!E:E,MATCH(G71,'03.RelicData'!A:A,0)),IF(E71=4,INDEX('06.PackData'!C:C,MATCH(G71,'06.PackData'!A:A,0)),"X"))))</f>
        <v>균열 지층 분석+</v>
      </c>
      <c r="G71" s="3" t="s">
        <v>1186</v>
      </c>
      <c r="H71" s="3">
        <v>1</v>
      </c>
    </row>
    <row r="72" spans="1:8" x14ac:dyDescent="0.3">
      <c r="A72" s="3">
        <f t="shared" ref="A72:A99" si="2">ROW()-1</f>
        <v>71</v>
      </c>
      <c r="B72" s="3">
        <v>2</v>
      </c>
      <c r="C72" s="3">
        <v>1011</v>
      </c>
      <c r="D72" s="3">
        <v>6500</v>
      </c>
      <c r="E72" s="3">
        <v>4</v>
      </c>
      <c r="F72" s="29" t="str">
        <f>IF(E72=1,G72&amp;" 골드",IF(E72=2,INDEX('02.CardData'!E:E,MATCH(G72,'02.CardData'!B:B,0)),IF(E72=3,INDEX('03.RelicData'!E:E,MATCH(G72,'03.RelicData'!A:A,0)),IF(E72=4,INDEX('06.PackData'!C:C,MATCH(G72,'06.PackData'!A:A,0)),"X"))))</f>
        <v>도구 카드펙 기본</v>
      </c>
      <c r="G72" s="3" t="s">
        <v>1201</v>
      </c>
      <c r="H72" s="3">
        <v>1</v>
      </c>
    </row>
    <row r="73" spans="1:8" x14ac:dyDescent="0.3">
      <c r="A73" s="3">
        <f t="shared" si="2"/>
        <v>72</v>
      </c>
      <c r="B73" s="3">
        <v>2</v>
      </c>
      <c r="C73" s="3">
        <v>1011</v>
      </c>
      <c r="D73" s="3">
        <v>3500</v>
      </c>
      <c r="E73" s="3">
        <v>4</v>
      </c>
      <c r="F73" s="29" t="str">
        <f>IF(E73=1,G73&amp;" 골드",IF(E73=2,INDEX('02.CardData'!E:E,MATCH(G73,'02.CardData'!B:B,0)),IF(E73=3,INDEX('03.RelicData'!E:E,MATCH(G73,'03.RelicData'!A:A,0)),IF(E73=4,INDEX('06.PackData'!C:C,MATCH(G73,'06.PackData'!A:A,0)),"X"))))</f>
        <v>도구 카드펙 강화</v>
      </c>
      <c r="G73" s="3" t="s">
        <v>1211</v>
      </c>
      <c r="H73" s="3">
        <v>1</v>
      </c>
    </row>
    <row r="74" spans="1:8" x14ac:dyDescent="0.3">
      <c r="A74" s="3">
        <f t="shared" si="2"/>
        <v>73</v>
      </c>
      <c r="B74" s="3">
        <v>2</v>
      </c>
      <c r="C74" s="3">
        <v>1012</v>
      </c>
      <c r="D74" s="3">
        <v>1</v>
      </c>
      <c r="E74" s="3">
        <v>3</v>
      </c>
      <c r="F74" s="29" t="str">
        <f>IF(E74=1,G74&amp;" 골드",IF(E74=2,INDEX('02.CardData'!E:E,MATCH(G74,'02.CardData'!B:B,0)),IF(E74=3,INDEX('03.RelicData'!E:E,MATCH(G74,'03.RelicData'!A:A,0)),IF(E74=4,INDEX('06.PackData'!C:C,MATCH(G74,'06.PackData'!A:A,0)),"X"))))</f>
        <v>정밀 타격 오일</v>
      </c>
      <c r="G74" s="3" t="s">
        <v>1187</v>
      </c>
      <c r="H74" s="3">
        <v>1</v>
      </c>
    </row>
    <row r="75" spans="1:8" x14ac:dyDescent="0.3">
      <c r="A75" s="3">
        <f t="shared" si="2"/>
        <v>74</v>
      </c>
      <c r="B75" s="3">
        <v>2</v>
      </c>
      <c r="C75" s="3">
        <v>1012</v>
      </c>
      <c r="D75" s="3">
        <v>1</v>
      </c>
      <c r="E75" s="3">
        <v>3</v>
      </c>
      <c r="F75" s="29" t="str">
        <f>IF(E75=1,G75&amp;" 골드",IF(E75=2,INDEX('02.CardData'!E:E,MATCH(G75,'02.CardData'!B:B,0)),IF(E75=3,INDEX('03.RelicData'!E:E,MATCH(G75,'03.RelicData'!A:A,0)),IF(E75=4,INDEX('06.PackData'!C:C,MATCH(G75,'06.PackData'!A:A,0)),"X"))))</f>
        <v>강화 손잡이</v>
      </c>
      <c r="G75" s="3" t="s">
        <v>614</v>
      </c>
      <c r="H75" s="3">
        <v>1</v>
      </c>
    </row>
    <row r="76" spans="1:8" x14ac:dyDescent="0.3">
      <c r="A76" s="3">
        <f t="shared" si="2"/>
        <v>75</v>
      </c>
      <c r="B76" s="3">
        <v>2</v>
      </c>
      <c r="C76" s="3">
        <v>1012</v>
      </c>
      <c r="D76" s="3">
        <v>1</v>
      </c>
      <c r="E76" s="3">
        <v>3</v>
      </c>
      <c r="F76" s="29" t="str">
        <f>IF(E76=1,G76&amp;" 골드",IF(E76=2,INDEX('02.CardData'!E:E,MATCH(G76,'02.CardData'!B:B,0)),IF(E76=3,INDEX('03.RelicData'!E:E,MATCH(G76,'03.RelicData'!A:A,0)),IF(E76=4,INDEX('06.PackData'!C:C,MATCH(G76,'06.PackData'!A:A,0)),"X"))))</f>
        <v>숙련공의 숫돌</v>
      </c>
      <c r="G76" s="3" t="s">
        <v>615</v>
      </c>
      <c r="H76" s="3">
        <v>1</v>
      </c>
    </row>
    <row r="77" spans="1:8" x14ac:dyDescent="0.3">
      <c r="A77" s="3">
        <f t="shared" si="2"/>
        <v>76</v>
      </c>
      <c r="B77" s="3">
        <v>2</v>
      </c>
      <c r="C77" s="3">
        <v>1012</v>
      </c>
      <c r="D77" s="3">
        <v>1</v>
      </c>
      <c r="E77" s="3">
        <v>3</v>
      </c>
      <c r="F77" s="29" t="str">
        <f>IF(E77=1,G77&amp;" 골드",IF(E77=2,INDEX('02.CardData'!E:E,MATCH(G77,'02.CardData'!B:B,0)),IF(E77=3,INDEX('03.RelicData'!E:E,MATCH(G77,'03.RelicData'!A:A,0)),IF(E77=4,INDEX('06.PackData'!C:C,MATCH(G77,'06.PackData'!A:A,0)),"X"))))</f>
        <v>부서진 도구의 기억</v>
      </c>
      <c r="G77" s="3" t="s">
        <v>616</v>
      </c>
      <c r="H77" s="3">
        <v>1</v>
      </c>
    </row>
    <row r="78" spans="1:8" x14ac:dyDescent="0.3">
      <c r="A78" s="3">
        <f t="shared" si="2"/>
        <v>77</v>
      </c>
      <c r="B78" s="3">
        <v>2</v>
      </c>
      <c r="C78" s="3">
        <v>1012</v>
      </c>
      <c r="D78" s="3">
        <v>1</v>
      </c>
      <c r="E78" s="3">
        <v>3</v>
      </c>
      <c r="F78" s="29" t="str">
        <f>IF(E78=1,G78&amp;" 골드",IF(E78=2,INDEX('02.CardData'!E:E,MATCH(G78,'02.CardData'!B:B,0)),IF(E78=3,INDEX('03.RelicData'!E:E,MATCH(G78,'03.RelicData'!A:A,0)),IF(E78=4,INDEX('06.PackData'!C:C,MATCH(G78,'06.PackData'!A:A,0)),"X"))))</f>
        <v>스프레이 마감제</v>
      </c>
      <c r="G78" s="3" t="s">
        <v>617</v>
      </c>
      <c r="H78" s="3">
        <v>1</v>
      </c>
    </row>
    <row r="79" spans="1:8" x14ac:dyDescent="0.3">
      <c r="A79" s="3">
        <f t="shared" si="2"/>
        <v>78</v>
      </c>
      <c r="B79" s="3">
        <v>2</v>
      </c>
      <c r="C79" s="3">
        <v>1012</v>
      </c>
      <c r="D79" s="3">
        <v>1</v>
      </c>
      <c r="E79" s="3">
        <v>3</v>
      </c>
      <c r="F79" s="29" t="str">
        <f>IF(E79=1,G79&amp;" 골드",IF(E79=2,INDEX('02.CardData'!E:E,MATCH(G79,'02.CardData'!B:B,0)),IF(E79=3,INDEX('03.RelicData'!E:E,MATCH(G79,'03.RelicData'!A:A,0)),IF(E79=4,INDEX('06.PackData'!C:C,MATCH(G79,'06.PackData'!A:A,0)),"X"))))</f>
        <v>작은 금괴</v>
      </c>
      <c r="G79" s="3" t="s">
        <v>618</v>
      </c>
      <c r="H79" s="3">
        <v>1</v>
      </c>
    </row>
    <row r="80" spans="1:8" x14ac:dyDescent="0.3">
      <c r="A80" s="3">
        <f t="shared" si="2"/>
        <v>79</v>
      </c>
      <c r="B80" s="3">
        <v>2</v>
      </c>
      <c r="C80" s="3">
        <v>1012</v>
      </c>
      <c r="D80" s="3">
        <v>1</v>
      </c>
      <c r="E80" s="3">
        <v>3</v>
      </c>
      <c r="F80" s="29" t="str">
        <f>IF(E80=1,G80&amp;" 골드",IF(E80=2,INDEX('02.CardData'!E:E,MATCH(G80,'02.CardData'!B:B,0)),IF(E80=3,INDEX('03.RelicData'!E:E,MATCH(G80,'03.RelicData'!A:A,0)),IF(E80=4,INDEX('06.PackData'!C:C,MATCH(G80,'06.PackData'!A:A,0)),"X"))))</f>
        <v>확장 배낭</v>
      </c>
      <c r="G80" s="3" t="s">
        <v>619</v>
      </c>
      <c r="H80" s="3">
        <v>1</v>
      </c>
    </row>
    <row r="81" spans="1:8" x14ac:dyDescent="0.3">
      <c r="A81" s="3">
        <f t="shared" si="2"/>
        <v>80</v>
      </c>
      <c r="B81" s="3">
        <v>2</v>
      </c>
      <c r="C81" s="3">
        <v>1012</v>
      </c>
      <c r="D81" s="3">
        <v>1</v>
      </c>
      <c r="E81" s="3">
        <v>3</v>
      </c>
      <c r="F81" s="29" t="str">
        <f>IF(E81=1,G81&amp;" 골드",IF(E81=2,INDEX('02.CardData'!E:E,MATCH(G81,'02.CardData'!B:B,0)),IF(E81=3,INDEX('03.RelicData'!E:E,MATCH(G81,'03.RelicData'!A:A,0)),IF(E81=4,INDEX('06.PackData'!C:C,MATCH(G81,'06.PackData'!A:A,0)),"X"))))</f>
        <v>정밀 타격 레이저</v>
      </c>
      <c r="G81" s="3" t="s">
        <v>621</v>
      </c>
      <c r="H81" s="3">
        <v>1</v>
      </c>
    </row>
    <row r="82" spans="1:8" x14ac:dyDescent="0.3">
      <c r="A82" s="3">
        <f t="shared" si="2"/>
        <v>81</v>
      </c>
      <c r="B82" s="3">
        <v>2</v>
      </c>
      <c r="C82" s="3">
        <v>1012</v>
      </c>
      <c r="D82" s="3">
        <v>1</v>
      </c>
      <c r="E82" s="3">
        <v>3</v>
      </c>
      <c r="F82" s="29" t="str">
        <f>IF(E82=1,G82&amp;" 골드",IF(E82=2,INDEX('02.CardData'!E:E,MATCH(G82,'02.CardData'!B:B,0)),IF(E82=3,INDEX('03.RelicData'!E:E,MATCH(G82,'03.RelicData'!A:A,0)),IF(E82=4,INDEX('06.PackData'!C:C,MATCH(G82,'06.PackData'!A:A,0)),"X"))))</f>
        <v>광역 공격 망치</v>
      </c>
      <c r="G82" s="3" t="s">
        <v>622</v>
      </c>
      <c r="H82" s="3">
        <v>1</v>
      </c>
    </row>
    <row r="83" spans="1:8" x14ac:dyDescent="0.3">
      <c r="A83" s="3">
        <f t="shared" si="2"/>
        <v>82</v>
      </c>
      <c r="B83" s="3">
        <v>2</v>
      </c>
      <c r="C83" s="3">
        <v>1012</v>
      </c>
      <c r="D83" s="3">
        <v>1</v>
      </c>
      <c r="E83" s="3">
        <v>3</v>
      </c>
      <c r="F83" s="29" t="str">
        <f>IF(E83=1,G83&amp;" 골드",IF(E83=2,INDEX('02.CardData'!E:E,MATCH(G83,'02.CardData'!B:B,0)),IF(E83=3,INDEX('03.RelicData'!E:E,MATCH(G83,'03.RelicData'!A:A,0)),IF(E83=4,INDEX('06.PackData'!C:C,MATCH(G83,'06.PackData'!A:A,0)),"X"))))</f>
        <v>긴급 수리 테이프</v>
      </c>
      <c r="G83" s="3" t="s">
        <v>623</v>
      </c>
      <c r="H83" s="3">
        <v>1</v>
      </c>
    </row>
    <row r="84" spans="1:8" x14ac:dyDescent="0.3">
      <c r="A84" s="3">
        <f t="shared" si="2"/>
        <v>83</v>
      </c>
      <c r="B84" s="3">
        <v>2</v>
      </c>
      <c r="C84" s="3">
        <v>1012</v>
      </c>
      <c r="D84" s="3">
        <v>1</v>
      </c>
      <c r="E84" s="3">
        <v>3</v>
      </c>
      <c r="F84" s="29" t="str">
        <f>IF(E84=1,G84&amp;" 골드",IF(E84=2,INDEX('02.CardData'!E:E,MATCH(G84,'02.CardData'!B:B,0)),IF(E84=3,INDEX('03.RelicData'!E:E,MATCH(G84,'03.RelicData'!A:A,0)),IF(E84=4,INDEX('06.PackData'!C:C,MATCH(G84,'06.PackData'!A:A,0)),"X"))))</f>
        <v>고대의 나침반</v>
      </c>
      <c r="G84" s="3" t="s">
        <v>624</v>
      </c>
      <c r="H84" s="3">
        <v>1</v>
      </c>
    </row>
    <row r="85" spans="1:8" x14ac:dyDescent="0.3">
      <c r="A85" s="3">
        <f t="shared" si="2"/>
        <v>84</v>
      </c>
      <c r="B85" s="3">
        <v>2</v>
      </c>
      <c r="C85" s="3">
        <v>1012</v>
      </c>
      <c r="D85" s="3">
        <v>1</v>
      </c>
      <c r="E85" s="3">
        <v>3</v>
      </c>
      <c r="F85" s="29" t="str">
        <f>IF(E85=1,G85&amp;" 골드",IF(E85=2,INDEX('02.CardData'!E:E,MATCH(G85,'02.CardData'!B:B,0)),IF(E85=3,INDEX('03.RelicData'!E:E,MATCH(G85,'03.RelicData'!A:A,0)),IF(E85=4,INDEX('06.PackData'!C:C,MATCH(G85,'06.PackData'!A:A,0)),"X"))))</f>
        <v>유적 조사 노트</v>
      </c>
      <c r="G85" s="3" t="s">
        <v>626</v>
      </c>
      <c r="H85" s="3">
        <v>1</v>
      </c>
    </row>
    <row r="86" spans="1:8" x14ac:dyDescent="0.3">
      <c r="A86" s="3">
        <f t="shared" si="2"/>
        <v>85</v>
      </c>
      <c r="B86" s="3">
        <v>2</v>
      </c>
      <c r="C86" s="3">
        <v>1012</v>
      </c>
      <c r="D86" s="3">
        <v>1</v>
      </c>
      <c r="E86" s="3">
        <v>3</v>
      </c>
      <c r="F86" s="29" t="str">
        <f>IF(E86=1,G86&amp;" 골드",IF(E86=2,INDEX('02.CardData'!E:E,MATCH(G86,'02.CardData'!B:B,0)),IF(E86=3,INDEX('03.RelicData'!E:E,MATCH(G86,'03.RelicData'!A:A,0)),IF(E86=4,INDEX('06.PackData'!C:C,MATCH(G86,'06.PackData'!A:A,0)),"X"))))</f>
        <v>거래기록 장부</v>
      </c>
      <c r="G86" s="3" t="s">
        <v>627</v>
      </c>
      <c r="H86" s="3">
        <v>1</v>
      </c>
    </row>
    <row r="87" spans="1:8" x14ac:dyDescent="0.3">
      <c r="A87" s="3">
        <f t="shared" si="2"/>
        <v>86</v>
      </c>
      <c r="B87" s="3">
        <v>2</v>
      </c>
      <c r="C87" s="3">
        <v>1012</v>
      </c>
      <c r="D87" s="3">
        <v>1</v>
      </c>
      <c r="E87" s="3">
        <v>3</v>
      </c>
      <c r="F87" s="29" t="str">
        <f>IF(E87=1,G87&amp;" 골드",IF(E87=2,INDEX('02.CardData'!E:E,MATCH(G87,'02.CardData'!B:B,0)),IF(E87=3,INDEX('03.RelicData'!E:E,MATCH(G87,'03.RelicData'!A:A,0)),IF(E87=4,INDEX('06.PackData'!C:C,MATCH(G87,'06.PackData'!A:A,0)),"X"))))</f>
        <v>대못</v>
      </c>
      <c r="G87" s="3" t="s">
        <v>628</v>
      </c>
      <c r="H87" s="3">
        <v>1</v>
      </c>
    </row>
    <row r="88" spans="1:8" x14ac:dyDescent="0.3">
      <c r="A88" s="3">
        <f t="shared" si="2"/>
        <v>87</v>
      </c>
      <c r="B88" s="3">
        <v>2</v>
      </c>
      <c r="C88" s="3">
        <v>1012</v>
      </c>
      <c r="D88" s="3">
        <v>1</v>
      </c>
      <c r="E88" s="3">
        <v>3</v>
      </c>
      <c r="F88" s="29" t="str">
        <f>IF(E88=1,G88&amp;" 골드",IF(E88=2,INDEX('02.CardData'!E:E,MATCH(G88,'02.CardData'!B:B,0)),IF(E88=3,INDEX('03.RelicData'!E:E,MATCH(G88,'03.RelicData'!A:A,0)),IF(E88=4,INDEX('06.PackData'!C:C,MATCH(G88,'06.PackData'!A:A,0)),"X"))))</f>
        <v>균열 파편 강화*</v>
      </c>
      <c r="G88" s="3" t="s">
        <v>629</v>
      </c>
      <c r="H88" s="3">
        <v>1</v>
      </c>
    </row>
    <row r="89" spans="1:8" x14ac:dyDescent="0.3">
      <c r="A89" s="3">
        <f t="shared" si="2"/>
        <v>88</v>
      </c>
      <c r="B89" s="3">
        <v>2</v>
      </c>
      <c r="C89" s="3">
        <v>1012</v>
      </c>
      <c r="D89" s="3">
        <v>1</v>
      </c>
      <c r="E89" s="3">
        <v>3</v>
      </c>
      <c r="F89" s="29" t="str">
        <f>IF(E89=1,G89&amp;" 골드",IF(E89=2,INDEX('02.CardData'!E:E,MATCH(G89,'02.CardData'!B:B,0)),IF(E89=3,INDEX('03.RelicData'!E:E,MATCH(G89,'03.RelicData'!A:A,0)),IF(E89=4,INDEX('06.PackData'!C:C,MATCH(G89,'06.PackData'!A:A,0)),"X"))))</f>
        <v>완벽한 도구함</v>
      </c>
      <c r="G89" s="3" t="s">
        <v>630</v>
      </c>
      <c r="H89" s="3">
        <v>1</v>
      </c>
    </row>
    <row r="90" spans="1:8" x14ac:dyDescent="0.3">
      <c r="A90" s="3">
        <f t="shared" si="2"/>
        <v>89</v>
      </c>
      <c r="B90" s="3">
        <v>2</v>
      </c>
      <c r="C90" s="3">
        <v>1012</v>
      </c>
      <c r="D90" s="3">
        <v>1</v>
      </c>
      <c r="E90" s="3">
        <v>3</v>
      </c>
      <c r="F90" s="29" t="str">
        <f>IF(E90=1,G90&amp;" 골드",IF(E90=2,INDEX('02.CardData'!E:E,MATCH(G90,'02.CardData'!B:B,0)),IF(E90=3,INDEX('03.RelicData'!E:E,MATCH(G90,'03.RelicData'!A:A,0)),IF(E90=4,INDEX('06.PackData'!C:C,MATCH(G90,'06.PackData'!A:A,0)),"X"))))</f>
        <v>정밀 조준경</v>
      </c>
      <c r="G90" s="3" t="s">
        <v>633</v>
      </c>
      <c r="H90" s="3">
        <v>1</v>
      </c>
    </row>
    <row r="91" spans="1:8" x14ac:dyDescent="0.3">
      <c r="A91" s="3">
        <f t="shared" si="2"/>
        <v>90</v>
      </c>
      <c r="B91" s="3">
        <v>2</v>
      </c>
      <c r="C91" s="3">
        <v>1012</v>
      </c>
      <c r="D91" s="3">
        <v>1</v>
      </c>
      <c r="E91" s="3">
        <v>3</v>
      </c>
      <c r="F91" s="29" t="str">
        <f>IF(E91=1,G91&amp;" 골드",IF(E91=2,INDEX('02.CardData'!E:E,MATCH(G91,'02.CardData'!B:B,0)),IF(E91=3,INDEX('03.RelicData'!E:E,MATCH(G91,'03.RelicData'!A:A,0)),IF(E91=4,INDEX('06.PackData'!C:C,MATCH(G91,'06.PackData'!A:A,0)),"X"))))</f>
        <v>수평계</v>
      </c>
      <c r="G91" s="3" t="s">
        <v>634</v>
      </c>
      <c r="H91" s="3">
        <v>1</v>
      </c>
    </row>
    <row r="92" spans="1:8" x14ac:dyDescent="0.3">
      <c r="A92" s="3">
        <f t="shared" si="2"/>
        <v>91</v>
      </c>
      <c r="B92" s="3">
        <v>2</v>
      </c>
      <c r="C92" s="3">
        <v>1012</v>
      </c>
      <c r="D92" s="3">
        <v>1</v>
      </c>
      <c r="E92" s="3">
        <v>3</v>
      </c>
      <c r="F92" s="29" t="str">
        <f>IF(E92=1,G92&amp;" 골드",IF(E92=2,INDEX('02.CardData'!E:E,MATCH(G92,'02.CardData'!B:B,0)),IF(E92=3,INDEX('03.RelicData'!E:E,MATCH(G92,'03.RelicData'!A:A,0)),IF(E92=4,INDEX('06.PackData'!C:C,MATCH(G92,'06.PackData'!A:A,0)),"X"))))</f>
        <v>세로추</v>
      </c>
      <c r="G92" s="3" t="s">
        <v>1188</v>
      </c>
      <c r="H92" s="3">
        <v>1</v>
      </c>
    </row>
    <row r="93" spans="1:8" x14ac:dyDescent="0.3">
      <c r="A93" s="3">
        <f t="shared" si="2"/>
        <v>92</v>
      </c>
      <c r="B93" s="3">
        <v>2</v>
      </c>
      <c r="C93" s="3">
        <v>1013</v>
      </c>
      <c r="D93" s="3">
        <v>1200</v>
      </c>
      <c r="E93" s="3">
        <v>2</v>
      </c>
      <c r="F93" s="29" t="str">
        <f>IF(E93=1,G93&amp;" 골드",IF(E93=2,INDEX('02.CardData'!E:E,MATCH(G93,'02.CardData'!B:B,0)),IF(E93=3,INDEX('03.RelicData'!E:E,MATCH(G93,'03.RelicData'!A:A,0)),IF(E93=4,INDEX('06.PackData'!C:C,MATCH(G93,'06.PackData'!A:A,0)),"X"))))</f>
        <v>삽</v>
      </c>
      <c r="G93" s="3" t="s">
        <v>1133</v>
      </c>
      <c r="H93" s="3">
        <v>1</v>
      </c>
    </row>
    <row r="94" spans="1:8" x14ac:dyDescent="0.3">
      <c r="A94" s="3">
        <f t="shared" si="2"/>
        <v>93</v>
      </c>
      <c r="B94" s="3">
        <v>2</v>
      </c>
      <c r="C94" s="3">
        <v>1013</v>
      </c>
      <c r="D94" s="3">
        <v>1200</v>
      </c>
      <c r="E94" s="3">
        <v>2</v>
      </c>
      <c r="F94" s="29" t="str">
        <f>IF(E94=1,G94&amp;" 골드",IF(E94=2,INDEX('02.CardData'!E:E,MATCH(G94,'02.CardData'!B:B,0)),IF(E94=3,INDEX('03.RelicData'!E:E,MATCH(G94,'03.RelicData'!A:A,0)),IF(E94=4,INDEX('06.PackData'!C:C,MATCH(G94,'06.PackData'!A:A,0)),"X"))))</f>
        <v>갈퀴</v>
      </c>
      <c r="G94" s="3" t="s">
        <v>1134</v>
      </c>
      <c r="H94" s="3">
        <v>1</v>
      </c>
    </row>
    <row r="95" spans="1:8" x14ac:dyDescent="0.3">
      <c r="A95" s="3">
        <f t="shared" si="2"/>
        <v>94</v>
      </c>
      <c r="B95" s="3">
        <v>2</v>
      </c>
      <c r="C95" s="3">
        <v>1013</v>
      </c>
      <c r="D95" s="3">
        <v>1200</v>
      </c>
      <c r="E95" s="3">
        <v>2</v>
      </c>
      <c r="F95" s="29" t="str">
        <f>IF(E95=1,G95&amp;" 골드",IF(E95=2,INDEX('02.CardData'!E:E,MATCH(G95,'02.CardData'!B:B,0)),IF(E95=3,INDEX('03.RelicData'!E:E,MATCH(G95,'03.RelicData'!A:A,0)),IF(E95=4,INDEX('06.PackData'!C:C,MATCH(G95,'06.PackData'!A:A,0)),"X"))))</f>
        <v>황금 삽</v>
      </c>
      <c r="G95" s="3" t="s">
        <v>169</v>
      </c>
      <c r="H95" s="3">
        <v>1</v>
      </c>
    </row>
    <row r="96" spans="1:8" x14ac:dyDescent="0.3">
      <c r="A96" s="3">
        <f t="shared" si="2"/>
        <v>95</v>
      </c>
      <c r="B96" s="3">
        <v>2</v>
      </c>
      <c r="C96" s="3">
        <v>1013</v>
      </c>
      <c r="D96" s="3">
        <v>1200</v>
      </c>
      <c r="E96" s="3">
        <v>2</v>
      </c>
      <c r="F96" s="29" t="str">
        <f>IF(E96=1,G96&amp;" 골드",IF(E96=2,INDEX('02.CardData'!E:E,MATCH(G96,'02.CardData'!B:B,0)),IF(E96=3,INDEX('03.RelicData'!E:E,MATCH(G96,'03.RelicData'!A:A,0)),IF(E96=4,INDEX('06.PackData'!C:C,MATCH(G96,'06.PackData'!A:A,0)),"X"))))</f>
        <v>도끼</v>
      </c>
      <c r="G96" s="3" t="s">
        <v>171</v>
      </c>
      <c r="H96" s="3">
        <v>1</v>
      </c>
    </row>
    <row r="97" spans="1:8" x14ac:dyDescent="0.3">
      <c r="A97" s="3">
        <f t="shared" si="2"/>
        <v>96</v>
      </c>
      <c r="B97" s="3">
        <v>2</v>
      </c>
      <c r="C97" s="3">
        <v>1013</v>
      </c>
      <c r="D97" s="3">
        <v>343</v>
      </c>
      <c r="E97" s="3">
        <v>2</v>
      </c>
      <c r="F97" s="29" t="str">
        <f>IF(E97=1,G97&amp;" 골드",IF(E97=2,INDEX('02.CardData'!E:E,MATCH(G97,'02.CardData'!B:B,0)),IF(E97=3,INDEX('03.RelicData'!E:E,MATCH(G97,'03.RelicData'!A:A,0)),IF(E97=4,INDEX('06.PackData'!C:C,MATCH(G97,'06.PackData'!A:A,0)),"X"))))</f>
        <v>십자 끌</v>
      </c>
      <c r="G97" s="3" t="s">
        <v>1135</v>
      </c>
      <c r="H97" s="3">
        <v>1</v>
      </c>
    </row>
    <row r="98" spans="1:8" x14ac:dyDescent="0.3">
      <c r="A98" s="3">
        <f t="shared" si="2"/>
        <v>97</v>
      </c>
      <c r="B98" s="3">
        <v>2</v>
      </c>
      <c r="C98" s="3">
        <v>1013</v>
      </c>
      <c r="D98" s="3">
        <v>343</v>
      </c>
      <c r="E98" s="3">
        <v>2</v>
      </c>
      <c r="F98" s="29" t="str">
        <f>IF(E98=1,G98&amp;" 골드",IF(E98=2,INDEX('02.CardData'!E:E,MATCH(G98,'02.CardData'!B:B,0)),IF(E98=3,INDEX('03.RelicData'!E:E,MATCH(G98,'03.RelicData'!A:A,0)),IF(E98=4,INDEX('06.PackData'!C:C,MATCH(G98,'06.PackData'!A:A,0)),"X"))))</f>
        <v>곡괭이</v>
      </c>
      <c r="G98" s="3" t="s">
        <v>175</v>
      </c>
      <c r="H98" s="3">
        <v>1</v>
      </c>
    </row>
    <row r="99" spans="1:8" x14ac:dyDescent="0.3">
      <c r="A99" s="3">
        <f t="shared" si="2"/>
        <v>98</v>
      </c>
      <c r="B99" s="3">
        <v>2</v>
      </c>
      <c r="C99" s="3">
        <v>1013</v>
      </c>
      <c r="D99" s="3">
        <v>343</v>
      </c>
      <c r="E99" s="3">
        <v>2</v>
      </c>
      <c r="F99" s="29" t="str">
        <f>IF(E99=1,G99&amp;" 골드",IF(E99=2,INDEX('02.CardData'!E:E,MATCH(G99,'02.CardData'!B:B,0)),IF(E99=3,INDEX('03.RelicData'!E:E,MATCH(G99,'03.RelicData'!A:A,0)),IF(E99=4,INDEX('06.PackData'!C:C,MATCH(G99,'06.PackData'!A:A,0)),"X"))))</f>
        <v>새총</v>
      </c>
      <c r="G99" s="3" t="s">
        <v>177</v>
      </c>
      <c r="H99" s="3">
        <v>1</v>
      </c>
    </row>
    <row r="100" spans="1:8" x14ac:dyDescent="0.3">
      <c r="A100" s="3">
        <f t="shared" ref="A100:A163" si="3">ROW()-1</f>
        <v>99</v>
      </c>
      <c r="B100" s="3">
        <v>2</v>
      </c>
      <c r="C100" s="3">
        <v>1013</v>
      </c>
      <c r="D100" s="3">
        <v>343</v>
      </c>
      <c r="E100" s="3">
        <v>2</v>
      </c>
      <c r="F100" s="29" t="str">
        <f>IF(E100=1,G100&amp;" 골드",IF(E100=2,INDEX('02.CardData'!E:E,MATCH(G100,'02.CardData'!B:B,0)),IF(E100=3,INDEX('03.RelicData'!E:E,MATCH(G100,'03.RelicData'!A:A,0)),IF(E100=4,INDEX('06.PackData'!C:C,MATCH(G100,'06.PackData'!A:A,0)),"X"))))</f>
        <v>모서리 파쇄 해머</v>
      </c>
      <c r="G100" s="3" t="s">
        <v>179</v>
      </c>
      <c r="H100" s="3">
        <v>1</v>
      </c>
    </row>
    <row r="101" spans="1:8" x14ac:dyDescent="0.3">
      <c r="A101" s="3">
        <f t="shared" si="3"/>
        <v>100</v>
      </c>
      <c r="B101" s="3">
        <v>2</v>
      </c>
      <c r="C101" s="3">
        <v>1013</v>
      </c>
      <c r="D101" s="3">
        <v>343</v>
      </c>
      <c r="E101" s="3">
        <v>2</v>
      </c>
      <c r="F101" s="29" t="str">
        <f>IF(E101=1,G101&amp;" 골드",IF(E101=2,INDEX('02.CardData'!E:E,MATCH(G101,'02.CardData'!B:B,0)),IF(E101=3,INDEX('03.RelicData'!E:E,MATCH(G101,'03.RelicData'!A:A,0)),IF(E101=4,INDEX('06.PackData'!C:C,MATCH(G101,'06.PackData'!A:A,0)),"X"))))</f>
        <v>집중형 십자 드릴</v>
      </c>
      <c r="G101" s="3" t="s">
        <v>181</v>
      </c>
      <c r="H101" s="3">
        <v>1</v>
      </c>
    </row>
    <row r="102" spans="1:8" x14ac:dyDescent="0.3">
      <c r="A102" s="3">
        <f t="shared" si="3"/>
        <v>101</v>
      </c>
      <c r="B102" s="3">
        <v>2</v>
      </c>
      <c r="C102" s="3">
        <v>1013</v>
      </c>
      <c r="D102" s="3">
        <v>343</v>
      </c>
      <c r="E102" s="3">
        <v>2</v>
      </c>
      <c r="F102" s="29" t="str">
        <f>IF(E102=1,G102&amp;" 골드",IF(E102=2,INDEX('02.CardData'!E:E,MATCH(G102,'02.CardData'!B:B,0)),IF(E102=3,INDEX('03.RelicData'!E:E,MATCH(G102,'03.RelicData'!A:A,0)),IF(E102=4,INDEX('06.PackData'!C:C,MATCH(G102,'06.PackData'!A:A,0)),"X"))))</f>
        <v>황금 도끼</v>
      </c>
      <c r="G102" s="3" t="s">
        <v>183</v>
      </c>
      <c r="H102" s="3">
        <v>1</v>
      </c>
    </row>
    <row r="103" spans="1:8" x14ac:dyDescent="0.3">
      <c r="A103" s="3">
        <f t="shared" si="3"/>
        <v>102</v>
      </c>
      <c r="B103" s="3">
        <v>2</v>
      </c>
      <c r="C103" s="3">
        <v>1013</v>
      </c>
      <c r="D103" s="3">
        <v>342</v>
      </c>
      <c r="E103" s="3">
        <v>2</v>
      </c>
      <c r="F103" s="29" t="str">
        <f>IF(E103=1,G103&amp;" 골드",IF(E103=2,INDEX('02.CardData'!E:E,MATCH(G103,'02.CardData'!B:B,0)),IF(E103=3,INDEX('03.RelicData'!E:E,MATCH(G103,'03.RelicData'!A:A,0)),IF(E103=4,INDEX('06.PackData'!C:C,MATCH(G103,'06.PackData'!A:A,0)),"X"))))</f>
        <v>대형 가위</v>
      </c>
      <c r="G103" s="3" t="s">
        <v>1136</v>
      </c>
      <c r="H103" s="3">
        <v>1</v>
      </c>
    </row>
    <row r="104" spans="1:8" x14ac:dyDescent="0.3">
      <c r="A104" s="3">
        <f t="shared" si="3"/>
        <v>103</v>
      </c>
      <c r="B104" s="3">
        <v>2</v>
      </c>
      <c r="C104" s="3">
        <v>1013</v>
      </c>
      <c r="D104" s="3">
        <v>800</v>
      </c>
      <c r="E104" s="3">
        <v>2</v>
      </c>
      <c r="F104" s="29" t="str">
        <f>IF(E104=1,G104&amp;" 골드",IF(E104=2,INDEX('02.CardData'!E:E,MATCH(G104,'02.CardData'!B:B,0)),IF(E104=3,INDEX('03.RelicData'!E:E,MATCH(G104,'03.RelicData'!A:A,0)),IF(E104=4,INDEX('06.PackData'!C:C,MATCH(G104,'06.PackData'!A:A,0)),"X"))))</f>
        <v>균열 지층 분석</v>
      </c>
      <c r="G104" s="3" t="s">
        <v>1138</v>
      </c>
      <c r="H104" s="3">
        <v>1</v>
      </c>
    </row>
    <row r="105" spans="1:8" x14ac:dyDescent="0.3">
      <c r="A105" s="3">
        <f t="shared" si="3"/>
        <v>104</v>
      </c>
      <c r="B105" s="3">
        <v>2</v>
      </c>
      <c r="C105" s="3">
        <v>1013</v>
      </c>
      <c r="D105" s="3">
        <v>300</v>
      </c>
      <c r="E105" s="3">
        <v>2</v>
      </c>
      <c r="F105" s="29" t="str">
        <f>IF(E105=1,G105&amp;" 골드",IF(E105=2,INDEX('02.CardData'!E:E,MATCH(G105,'02.CardData'!B:B,0)),IF(E105=3,INDEX('03.RelicData'!E:E,MATCH(G105,'03.RelicData'!A:A,0)),IF(E105=4,INDEX('06.PackData'!C:C,MATCH(G105,'06.PackData'!A:A,0)),"X"))))</f>
        <v>삽+</v>
      </c>
      <c r="G105" s="3" t="s">
        <v>167</v>
      </c>
      <c r="H105" s="3">
        <v>1</v>
      </c>
    </row>
    <row r="106" spans="1:8" x14ac:dyDescent="0.3">
      <c r="A106" s="3">
        <f t="shared" si="3"/>
        <v>105</v>
      </c>
      <c r="B106" s="3">
        <v>2</v>
      </c>
      <c r="C106" s="3">
        <v>1013</v>
      </c>
      <c r="D106" s="3">
        <v>300</v>
      </c>
      <c r="E106" s="3">
        <v>2</v>
      </c>
      <c r="F106" s="29" t="str">
        <f>IF(E106=1,G106&amp;" 골드",IF(E106=2,INDEX('02.CardData'!E:E,MATCH(G106,'02.CardData'!B:B,0)),IF(E106=3,INDEX('03.RelicData'!E:E,MATCH(G106,'03.RelicData'!A:A,0)),IF(E106=4,INDEX('06.PackData'!C:C,MATCH(G106,'06.PackData'!A:A,0)),"X"))))</f>
        <v>갈퀴+</v>
      </c>
      <c r="G106" s="3" t="s">
        <v>168</v>
      </c>
      <c r="H106" s="3">
        <v>1</v>
      </c>
    </row>
    <row r="107" spans="1:8" x14ac:dyDescent="0.3">
      <c r="A107" s="3">
        <f t="shared" si="3"/>
        <v>106</v>
      </c>
      <c r="B107" s="3">
        <v>2</v>
      </c>
      <c r="C107" s="3">
        <v>1013</v>
      </c>
      <c r="D107" s="3">
        <v>300</v>
      </c>
      <c r="E107" s="3">
        <v>2</v>
      </c>
      <c r="F107" s="29" t="str">
        <f>IF(E107=1,G107&amp;" 골드",IF(E107=2,INDEX('02.CardData'!E:E,MATCH(G107,'02.CardData'!B:B,0)),IF(E107=3,INDEX('03.RelicData'!E:E,MATCH(G107,'03.RelicData'!A:A,0)),IF(E107=4,INDEX('06.PackData'!C:C,MATCH(G107,'06.PackData'!A:A,0)),"X"))))</f>
        <v>황금 삽+</v>
      </c>
      <c r="G107" s="3" t="s">
        <v>170</v>
      </c>
      <c r="H107" s="3">
        <v>1</v>
      </c>
    </row>
    <row r="108" spans="1:8" x14ac:dyDescent="0.3">
      <c r="A108" s="3">
        <f t="shared" si="3"/>
        <v>107</v>
      </c>
      <c r="B108" s="3">
        <v>2</v>
      </c>
      <c r="C108" s="3">
        <v>1013</v>
      </c>
      <c r="D108" s="3">
        <v>300</v>
      </c>
      <c r="E108" s="3">
        <v>2</v>
      </c>
      <c r="F108" s="29" t="str">
        <f>IF(E108=1,G108&amp;" 골드",IF(E108=2,INDEX('02.CardData'!E:E,MATCH(G108,'02.CardData'!B:B,0)),IF(E108=3,INDEX('03.RelicData'!E:E,MATCH(G108,'03.RelicData'!A:A,0)),IF(E108=4,INDEX('06.PackData'!C:C,MATCH(G108,'06.PackData'!A:A,0)),"X"))))</f>
        <v>도끼+</v>
      </c>
      <c r="G108" s="3" t="s">
        <v>172</v>
      </c>
      <c r="H108" s="3">
        <v>1</v>
      </c>
    </row>
    <row r="109" spans="1:8" x14ac:dyDescent="0.3">
      <c r="A109" s="3">
        <f t="shared" si="3"/>
        <v>108</v>
      </c>
      <c r="B109" s="3">
        <v>2</v>
      </c>
      <c r="C109" s="3">
        <v>1013</v>
      </c>
      <c r="D109" s="3">
        <v>86</v>
      </c>
      <c r="E109" s="3">
        <v>2</v>
      </c>
      <c r="F109" s="29" t="str">
        <f>IF(E109=1,G109&amp;" 골드",IF(E109=2,INDEX('02.CardData'!E:E,MATCH(G109,'02.CardData'!B:B,0)),IF(E109=3,INDEX('03.RelicData'!E:E,MATCH(G109,'03.RelicData'!A:A,0)),IF(E109=4,INDEX('06.PackData'!C:C,MATCH(G109,'06.PackData'!A:A,0)),"X"))))</f>
        <v>십자 끌+</v>
      </c>
      <c r="G109" s="3" t="s">
        <v>1183</v>
      </c>
      <c r="H109" s="3">
        <v>1</v>
      </c>
    </row>
    <row r="110" spans="1:8" x14ac:dyDescent="0.3">
      <c r="A110" s="3">
        <f t="shared" si="3"/>
        <v>109</v>
      </c>
      <c r="B110" s="3">
        <v>2</v>
      </c>
      <c r="C110" s="3">
        <v>1013</v>
      </c>
      <c r="D110" s="3">
        <v>86</v>
      </c>
      <c r="E110" s="3">
        <v>2</v>
      </c>
      <c r="F110" s="29" t="str">
        <f>IF(E110=1,G110&amp;" 골드",IF(E110=2,INDEX('02.CardData'!E:E,MATCH(G110,'02.CardData'!B:B,0)),IF(E110=3,INDEX('03.RelicData'!E:E,MATCH(G110,'03.RelicData'!A:A,0)),IF(E110=4,INDEX('06.PackData'!C:C,MATCH(G110,'06.PackData'!A:A,0)),"X"))))</f>
        <v>곡괭이+</v>
      </c>
      <c r="G110" s="3" t="s">
        <v>176</v>
      </c>
      <c r="H110" s="3">
        <v>1</v>
      </c>
    </row>
    <row r="111" spans="1:8" x14ac:dyDescent="0.3">
      <c r="A111" s="3">
        <f t="shared" si="3"/>
        <v>110</v>
      </c>
      <c r="B111" s="3">
        <v>2</v>
      </c>
      <c r="C111" s="3">
        <v>1013</v>
      </c>
      <c r="D111" s="3">
        <v>86</v>
      </c>
      <c r="E111" s="3">
        <v>2</v>
      </c>
      <c r="F111" s="29" t="str">
        <f>IF(E111=1,G111&amp;" 골드",IF(E111=2,INDEX('02.CardData'!E:E,MATCH(G111,'02.CardData'!B:B,0)),IF(E111=3,INDEX('03.RelicData'!E:E,MATCH(G111,'03.RelicData'!A:A,0)),IF(E111=4,INDEX('06.PackData'!C:C,MATCH(G111,'06.PackData'!A:A,0)),"X"))))</f>
        <v>새총+</v>
      </c>
      <c r="G111" s="3" t="s">
        <v>178</v>
      </c>
      <c r="H111" s="3">
        <v>1</v>
      </c>
    </row>
    <row r="112" spans="1:8" x14ac:dyDescent="0.3">
      <c r="A112" s="3">
        <f t="shared" si="3"/>
        <v>111</v>
      </c>
      <c r="B112" s="3">
        <v>2</v>
      </c>
      <c r="C112" s="3">
        <v>1013</v>
      </c>
      <c r="D112" s="3">
        <v>86</v>
      </c>
      <c r="E112" s="3">
        <v>2</v>
      </c>
      <c r="F112" s="29" t="str">
        <f>IF(E112=1,G112&amp;" 골드",IF(E112=2,INDEX('02.CardData'!E:E,MATCH(G112,'02.CardData'!B:B,0)),IF(E112=3,INDEX('03.RelicData'!E:E,MATCH(G112,'03.RelicData'!A:A,0)),IF(E112=4,INDEX('06.PackData'!C:C,MATCH(G112,'06.PackData'!A:A,0)),"X"))))</f>
        <v>모서리 파쇄 해머+</v>
      </c>
      <c r="G112" s="3" t="s">
        <v>180</v>
      </c>
      <c r="H112" s="3">
        <v>1</v>
      </c>
    </row>
    <row r="113" spans="1:8" x14ac:dyDescent="0.3">
      <c r="A113" s="3">
        <f t="shared" si="3"/>
        <v>112</v>
      </c>
      <c r="B113" s="3">
        <v>2</v>
      </c>
      <c r="C113" s="3">
        <v>1013</v>
      </c>
      <c r="D113" s="3">
        <v>86</v>
      </c>
      <c r="E113" s="3">
        <v>2</v>
      </c>
      <c r="F113" s="29" t="str">
        <f>IF(E113=1,G113&amp;" 골드",IF(E113=2,INDEX('02.CardData'!E:E,MATCH(G113,'02.CardData'!B:B,0)),IF(E113=3,INDEX('03.RelicData'!E:E,MATCH(G113,'03.RelicData'!A:A,0)),IF(E113=4,INDEX('06.PackData'!C:C,MATCH(G113,'06.PackData'!A:A,0)),"X"))))</f>
        <v>집중형 십자 드릴+</v>
      </c>
      <c r="G113" s="3" t="s">
        <v>182</v>
      </c>
      <c r="H113" s="3">
        <v>1</v>
      </c>
    </row>
    <row r="114" spans="1:8" x14ac:dyDescent="0.3">
      <c r="A114" s="3">
        <f t="shared" si="3"/>
        <v>113</v>
      </c>
      <c r="B114" s="3">
        <v>2</v>
      </c>
      <c r="C114" s="3">
        <v>1013</v>
      </c>
      <c r="D114" s="3">
        <v>85</v>
      </c>
      <c r="E114" s="3">
        <v>2</v>
      </c>
      <c r="F114" s="29" t="str">
        <f>IF(E114=1,G114&amp;" 골드",IF(E114=2,INDEX('02.CardData'!E:E,MATCH(G114,'02.CardData'!B:B,0)),IF(E114=3,INDEX('03.RelicData'!E:E,MATCH(G114,'03.RelicData'!A:A,0)),IF(E114=4,INDEX('06.PackData'!C:C,MATCH(G114,'06.PackData'!A:A,0)),"X"))))</f>
        <v>황금 도끼+</v>
      </c>
      <c r="G114" s="3" t="s">
        <v>184</v>
      </c>
      <c r="H114" s="3">
        <v>1</v>
      </c>
    </row>
    <row r="115" spans="1:8" x14ac:dyDescent="0.3">
      <c r="A115" s="3">
        <f t="shared" si="3"/>
        <v>114</v>
      </c>
      <c r="B115" s="3">
        <v>2</v>
      </c>
      <c r="C115" s="3">
        <v>1013</v>
      </c>
      <c r="D115" s="3">
        <v>85</v>
      </c>
      <c r="E115" s="3">
        <v>2</v>
      </c>
      <c r="F115" s="29" t="str">
        <f>IF(E115=1,G115&amp;" 골드",IF(E115=2,INDEX('02.CardData'!E:E,MATCH(G115,'02.CardData'!B:B,0)),IF(E115=3,INDEX('03.RelicData'!E:E,MATCH(G115,'03.RelicData'!A:A,0)),IF(E115=4,INDEX('06.PackData'!C:C,MATCH(G115,'06.PackData'!A:A,0)),"X"))))</f>
        <v>대형 가위+</v>
      </c>
      <c r="G115" s="3" t="s">
        <v>1184</v>
      </c>
      <c r="H115" s="3">
        <v>1</v>
      </c>
    </row>
    <row r="116" spans="1:8" x14ac:dyDescent="0.3">
      <c r="A116" s="3">
        <f t="shared" si="3"/>
        <v>115</v>
      </c>
      <c r="B116" s="3">
        <v>2</v>
      </c>
      <c r="C116" s="3">
        <v>1013</v>
      </c>
      <c r="D116" s="3">
        <v>200</v>
      </c>
      <c r="E116" s="3">
        <v>2</v>
      </c>
      <c r="F116" s="29" t="str">
        <f>IF(E116=1,G116&amp;" 골드",IF(E116=2,INDEX('02.CardData'!E:E,MATCH(G116,'02.CardData'!B:B,0)),IF(E116=3,INDEX('03.RelicData'!E:E,MATCH(G116,'03.RelicData'!A:A,0)),IF(E116=4,INDEX('06.PackData'!C:C,MATCH(G116,'06.PackData'!A:A,0)),"X"))))</f>
        <v>균열 지층 분석+</v>
      </c>
      <c r="G116" s="3" t="s">
        <v>1186</v>
      </c>
      <c r="H116" s="3">
        <v>1</v>
      </c>
    </row>
    <row r="117" spans="1:8" x14ac:dyDescent="0.3">
      <c r="A117" s="3">
        <f t="shared" si="3"/>
        <v>116</v>
      </c>
      <c r="B117" s="3">
        <v>3</v>
      </c>
      <c r="C117" s="3">
        <v>1101</v>
      </c>
      <c r="D117" s="3">
        <v>1500</v>
      </c>
      <c r="E117" s="3">
        <v>2</v>
      </c>
      <c r="F117" s="29" t="str">
        <f>IF(E117=1,G117&amp;" 골드",IF(E117=2,INDEX('02.CardData'!E:E,MATCH(G117,'02.CardData'!B:B,0)),IF(E117=3,INDEX('03.RelicData'!E:E,MATCH(G117,'03.RelicData'!A:A,0)),IF(E117=4,INDEX('06.PackData'!C:C,MATCH(G117,'06.PackData'!A:A,0)),"X"))))</f>
        <v>삽</v>
      </c>
      <c r="G117" s="3" t="s">
        <v>1133</v>
      </c>
      <c r="H117" s="3">
        <v>1</v>
      </c>
    </row>
    <row r="118" spans="1:8" x14ac:dyDescent="0.3">
      <c r="A118" s="3">
        <f t="shared" si="3"/>
        <v>117</v>
      </c>
      <c r="B118" s="3">
        <v>3</v>
      </c>
      <c r="C118" s="3">
        <v>1101</v>
      </c>
      <c r="D118" s="3">
        <v>1500</v>
      </c>
      <c r="E118" s="3">
        <v>2</v>
      </c>
      <c r="F118" s="29" t="str">
        <f>IF(E118=1,G118&amp;" 골드",IF(E118=2,INDEX('02.CardData'!E:E,MATCH(G118,'02.CardData'!B:B,0)),IF(E118=3,INDEX('03.RelicData'!E:E,MATCH(G118,'03.RelicData'!A:A,0)),IF(E118=4,INDEX('06.PackData'!C:C,MATCH(G118,'06.PackData'!A:A,0)),"X"))))</f>
        <v>갈퀴</v>
      </c>
      <c r="G118" s="3" t="s">
        <v>1134</v>
      </c>
      <c r="H118" s="3">
        <v>1</v>
      </c>
    </row>
    <row r="119" spans="1:8" x14ac:dyDescent="0.3">
      <c r="A119" s="3">
        <f t="shared" si="3"/>
        <v>118</v>
      </c>
      <c r="B119" s="3">
        <v>3</v>
      </c>
      <c r="C119" s="3">
        <v>1101</v>
      </c>
      <c r="D119" s="3">
        <v>1500</v>
      </c>
      <c r="E119" s="3">
        <v>2</v>
      </c>
      <c r="F119" s="29" t="str">
        <f>IF(E119=1,G119&amp;" 골드",IF(E119=2,INDEX('02.CardData'!E:E,MATCH(G119,'02.CardData'!B:B,0)),IF(E119=3,INDEX('03.RelicData'!E:E,MATCH(G119,'03.RelicData'!A:A,0)),IF(E119=4,INDEX('06.PackData'!C:C,MATCH(G119,'06.PackData'!A:A,0)),"X"))))</f>
        <v>황금 삽</v>
      </c>
      <c r="G119" s="3" t="s">
        <v>169</v>
      </c>
      <c r="H119" s="3">
        <v>1</v>
      </c>
    </row>
    <row r="120" spans="1:8" x14ac:dyDescent="0.3">
      <c r="A120" s="3">
        <f t="shared" si="3"/>
        <v>119</v>
      </c>
      <c r="B120" s="3">
        <v>3</v>
      </c>
      <c r="C120" s="3">
        <v>1101</v>
      </c>
      <c r="D120" s="3">
        <v>1500</v>
      </c>
      <c r="E120" s="3">
        <v>2</v>
      </c>
      <c r="F120" s="29" t="str">
        <f>IF(E120=1,G120&amp;" 골드",IF(E120=2,INDEX('02.CardData'!E:E,MATCH(G120,'02.CardData'!B:B,0)),IF(E120=3,INDEX('03.RelicData'!E:E,MATCH(G120,'03.RelicData'!A:A,0)),IF(E120=4,INDEX('06.PackData'!C:C,MATCH(G120,'06.PackData'!A:A,0)),"X"))))</f>
        <v>도끼</v>
      </c>
      <c r="G120" s="3" t="s">
        <v>171</v>
      </c>
      <c r="H120" s="3">
        <v>1</v>
      </c>
    </row>
    <row r="121" spans="1:8" x14ac:dyDescent="0.3">
      <c r="A121" s="3">
        <f t="shared" si="3"/>
        <v>120</v>
      </c>
      <c r="B121" s="3">
        <v>3</v>
      </c>
      <c r="C121" s="3">
        <v>1101</v>
      </c>
      <c r="D121" s="3">
        <v>429</v>
      </c>
      <c r="E121" s="3">
        <v>2</v>
      </c>
      <c r="F121" s="29" t="str">
        <f>IF(E121=1,G121&amp;" 골드",IF(E121=2,INDEX('02.CardData'!E:E,MATCH(G121,'02.CardData'!B:B,0)),IF(E121=3,INDEX('03.RelicData'!E:E,MATCH(G121,'03.RelicData'!A:A,0)),IF(E121=4,INDEX('06.PackData'!C:C,MATCH(G121,'06.PackData'!A:A,0)),"X"))))</f>
        <v>십자 끌</v>
      </c>
      <c r="G121" s="3" t="s">
        <v>1135</v>
      </c>
      <c r="H121" s="3">
        <v>1</v>
      </c>
    </row>
    <row r="122" spans="1:8" x14ac:dyDescent="0.3">
      <c r="A122" s="3">
        <f t="shared" si="3"/>
        <v>121</v>
      </c>
      <c r="B122" s="3">
        <v>3</v>
      </c>
      <c r="C122" s="3">
        <v>1101</v>
      </c>
      <c r="D122" s="3">
        <v>429</v>
      </c>
      <c r="E122" s="3">
        <v>2</v>
      </c>
      <c r="F122" s="29" t="str">
        <f>IF(E122=1,G122&amp;" 골드",IF(E122=2,INDEX('02.CardData'!E:E,MATCH(G122,'02.CardData'!B:B,0)),IF(E122=3,INDEX('03.RelicData'!E:E,MATCH(G122,'03.RelicData'!A:A,0)),IF(E122=4,INDEX('06.PackData'!C:C,MATCH(G122,'06.PackData'!A:A,0)),"X"))))</f>
        <v>곡괭이</v>
      </c>
      <c r="G122" s="3" t="s">
        <v>175</v>
      </c>
      <c r="H122" s="3">
        <v>1</v>
      </c>
    </row>
    <row r="123" spans="1:8" x14ac:dyDescent="0.3">
      <c r="A123" s="3">
        <f t="shared" si="3"/>
        <v>122</v>
      </c>
      <c r="B123" s="3">
        <v>3</v>
      </c>
      <c r="C123" s="3">
        <v>1101</v>
      </c>
      <c r="D123" s="3">
        <v>429</v>
      </c>
      <c r="E123" s="3">
        <v>2</v>
      </c>
      <c r="F123" s="29" t="str">
        <f>IF(E123=1,G123&amp;" 골드",IF(E123=2,INDEX('02.CardData'!E:E,MATCH(G123,'02.CardData'!B:B,0)),IF(E123=3,INDEX('03.RelicData'!E:E,MATCH(G123,'03.RelicData'!A:A,0)),IF(E123=4,INDEX('06.PackData'!C:C,MATCH(G123,'06.PackData'!A:A,0)),"X"))))</f>
        <v>새총</v>
      </c>
      <c r="G123" s="3" t="s">
        <v>177</v>
      </c>
      <c r="H123" s="3">
        <v>1</v>
      </c>
    </row>
    <row r="124" spans="1:8" x14ac:dyDescent="0.3">
      <c r="A124" s="3">
        <f t="shared" si="3"/>
        <v>123</v>
      </c>
      <c r="B124" s="3">
        <v>3</v>
      </c>
      <c r="C124" s="3">
        <v>1101</v>
      </c>
      <c r="D124" s="3">
        <v>429</v>
      </c>
      <c r="E124" s="3">
        <v>2</v>
      </c>
      <c r="F124" s="29" t="str">
        <f>IF(E124=1,G124&amp;" 골드",IF(E124=2,INDEX('02.CardData'!E:E,MATCH(G124,'02.CardData'!B:B,0)),IF(E124=3,INDEX('03.RelicData'!E:E,MATCH(G124,'03.RelicData'!A:A,0)),IF(E124=4,INDEX('06.PackData'!C:C,MATCH(G124,'06.PackData'!A:A,0)),"X"))))</f>
        <v>모서리 파쇄 해머</v>
      </c>
      <c r="G124" s="3" t="s">
        <v>179</v>
      </c>
      <c r="H124" s="3">
        <v>1</v>
      </c>
    </row>
    <row r="125" spans="1:8" x14ac:dyDescent="0.3">
      <c r="A125" s="3">
        <f t="shared" si="3"/>
        <v>124</v>
      </c>
      <c r="B125" s="3">
        <v>3</v>
      </c>
      <c r="C125" s="3">
        <v>1101</v>
      </c>
      <c r="D125" s="3">
        <v>428</v>
      </c>
      <c r="E125" s="3">
        <v>2</v>
      </c>
      <c r="F125" s="29" t="str">
        <f>IF(E125=1,G125&amp;" 골드",IF(E125=2,INDEX('02.CardData'!E:E,MATCH(G125,'02.CardData'!B:B,0)),IF(E125=3,INDEX('03.RelicData'!E:E,MATCH(G125,'03.RelicData'!A:A,0)),IF(E125=4,INDEX('06.PackData'!C:C,MATCH(G125,'06.PackData'!A:A,0)),"X"))))</f>
        <v>집중형 십자 드릴</v>
      </c>
      <c r="G125" s="3" t="s">
        <v>181</v>
      </c>
      <c r="H125" s="3">
        <v>1</v>
      </c>
    </row>
    <row r="126" spans="1:8" x14ac:dyDescent="0.3">
      <c r="A126" s="3">
        <f t="shared" si="3"/>
        <v>125</v>
      </c>
      <c r="B126" s="3">
        <v>3</v>
      </c>
      <c r="C126" s="3">
        <v>1101</v>
      </c>
      <c r="D126" s="3">
        <v>428</v>
      </c>
      <c r="E126" s="3">
        <v>2</v>
      </c>
      <c r="F126" s="29" t="str">
        <f>IF(E126=1,G126&amp;" 골드",IF(E126=2,INDEX('02.CardData'!E:E,MATCH(G126,'02.CardData'!B:B,0)),IF(E126=3,INDEX('03.RelicData'!E:E,MATCH(G126,'03.RelicData'!A:A,0)),IF(E126=4,INDEX('06.PackData'!C:C,MATCH(G126,'06.PackData'!A:A,0)),"X"))))</f>
        <v>황금 도끼</v>
      </c>
      <c r="G126" s="3" t="s">
        <v>183</v>
      </c>
      <c r="H126" s="3">
        <v>1</v>
      </c>
    </row>
    <row r="127" spans="1:8" x14ac:dyDescent="0.3">
      <c r="A127" s="3">
        <f t="shared" si="3"/>
        <v>126</v>
      </c>
      <c r="B127" s="3">
        <v>3</v>
      </c>
      <c r="C127" s="3">
        <v>1101</v>
      </c>
      <c r="D127" s="3">
        <v>428</v>
      </c>
      <c r="E127" s="3">
        <v>2</v>
      </c>
      <c r="F127" s="29" t="str">
        <f>IF(E127=1,G127&amp;" 골드",IF(E127=2,INDEX('02.CardData'!E:E,MATCH(G127,'02.CardData'!B:B,0)),IF(E127=3,INDEX('03.RelicData'!E:E,MATCH(G127,'03.RelicData'!A:A,0)),IF(E127=4,INDEX('06.PackData'!C:C,MATCH(G127,'06.PackData'!A:A,0)),"X"))))</f>
        <v>대형 가위</v>
      </c>
      <c r="G127" s="3" t="s">
        <v>1136</v>
      </c>
      <c r="H127" s="3">
        <v>1</v>
      </c>
    </row>
    <row r="128" spans="1:8" x14ac:dyDescent="0.3">
      <c r="A128" s="3">
        <f t="shared" si="3"/>
        <v>127</v>
      </c>
      <c r="B128" s="3">
        <v>3</v>
      </c>
      <c r="C128" s="3">
        <v>1101</v>
      </c>
      <c r="D128" s="3">
        <v>1000</v>
      </c>
      <c r="E128" s="3">
        <v>2</v>
      </c>
      <c r="F128" s="29" t="str">
        <f>IF(E128=1,G128&amp;" 골드",IF(E128=2,INDEX('02.CardData'!E:E,MATCH(G128,'02.CardData'!B:B,0)),IF(E128=3,INDEX('03.RelicData'!E:E,MATCH(G128,'03.RelicData'!A:A,0)),IF(E128=4,INDEX('06.PackData'!C:C,MATCH(G128,'06.PackData'!A:A,0)),"X"))))</f>
        <v>균열 지층 분석</v>
      </c>
      <c r="G128" s="3" t="s">
        <v>1138</v>
      </c>
      <c r="H128" s="3">
        <v>1</v>
      </c>
    </row>
    <row r="129" spans="1:10" x14ac:dyDescent="0.3">
      <c r="A129" s="3">
        <f t="shared" si="3"/>
        <v>128</v>
      </c>
      <c r="B129" s="3">
        <v>4</v>
      </c>
      <c r="C129" s="3">
        <v>10101</v>
      </c>
      <c r="D129" s="3">
        <v>1000</v>
      </c>
      <c r="E129" s="3">
        <v>2</v>
      </c>
      <c r="F129" s="29" t="str">
        <f>IF(E129=1,G129&amp;" 골드",IF(E129=2,INDEX('02.CardData'!E:E,MATCH(G129,'02.CardData'!B:B,0)),IF(E129=3,INDEX('03.RelicData'!E:E,MATCH(G129,'03.RelicData'!A:A,0)),IF(E129=4,INDEX('06.PackData'!C:C,MATCH(G129,'06.PackData'!A:A,0)),"X"))))</f>
        <v>십자 끌</v>
      </c>
      <c r="G129" s="3" t="s">
        <v>1135</v>
      </c>
      <c r="H129" s="3">
        <v>1</v>
      </c>
      <c r="J129" s="1">
        <v>10101</v>
      </c>
    </row>
    <row r="130" spans="1:10" x14ac:dyDescent="0.3">
      <c r="A130" s="3">
        <f t="shared" si="3"/>
        <v>129</v>
      </c>
      <c r="B130" s="3">
        <v>4</v>
      </c>
      <c r="C130" s="3">
        <v>10101</v>
      </c>
      <c r="D130" s="3">
        <v>1000</v>
      </c>
      <c r="E130" s="3">
        <v>2</v>
      </c>
      <c r="F130" s="29" t="str">
        <f>IF(E130=1,G130&amp;" 골드",IF(E130=2,INDEX('02.CardData'!E:E,MATCH(G130,'02.CardData'!B:B,0)),IF(E130=3,INDEX('03.RelicData'!E:E,MATCH(G130,'03.RelicData'!A:A,0)),IF(E130=4,INDEX('06.PackData'!C:C,MATCH(G130,'06.PackData'!A:A,0)),"X"))))</f>
        <v>곡괭이</v>
      </c>
      <c r="G130" s="3" t="s">
        <v>175</v>
      </c>
      <c r="H130" s="3">
        <v>1</v>
      </c>
      <c r="J130" s="1">
        <v>10201</v>
      </c>
    </row>
    <row r="131" spans="1:10" x14ac:dyDescent="0.3">
      <c r="A131" s="3">
        <f t="shared" si="3"/>
        <v>130</v>
      </c>
      <c r="B131" s="3">
        <v>4</v>
      </c>
      <c r="C131" s="3">
        <v>10101</v>
      </c>
      <c r="D131" s="3">
        <v>1000</v>
      </c>
      <c r="E131" s="3">
        <v>2</v>
      </c>
      <c r="F131" s="29" t="str">
        <f>IF(E131=1,G131&amp;" 골드",IF(E131=2,INDEX('02.CardData'!E:E,MATCH(G131,'02.CardData'!B:B,0)),IF(E131=3,INDEX('03.RelicData'!E:E,MATCH(G131,'03.RelicData'!A:A,0)),IF(E131=4,INDEX('06.PackData'!C:C,MATCH(G131,'06.PackData'!A:A,0)),"X"))))</f>
        <v>새총</v>
      </c>
      <c r="G131" s="3" t="s">
        <v>177</v>
      </c>
      <c r="H131" s="3">
        <v>1</v>
      </c>
      <c r="J131" s="1">
        <v>10301</v>
      </c>
    </row>
    <row r="132" spans="1:10" x14ac:dyDescent="0.3">
      <c r="A132" s="3">
        <f t="shared" si="3"/>
        <v>131</v>
      </c>
      <c r="B132" s="3">
        <v>4</v>
      </c>
      <c r="C132" s="3">
        <v>10101</v>
      </c>
      <c r="D132" s="3">
        <v>1000</v>
      </c>
      <c r="E132" s="3">
        <v>2</v>
      </c>
      <c r="F132" s="29" t="str">
        <f>IF(E132=1,G132&amp;" 골드",IF(E132=2,INDEX('02.CardData'!E:E,MATCH(G132,'02.CardData'!B:B,0)),IF(E132=3,INDEX('03.RelicData'!E:E,MATCH(G132,'03.RelicData'!A:A,0)),IF(E132=4,INDEX('06.PackData'!C:C,MATCH(G132,'06.PackData'!A:A,0)),"X"))))</f>
        <v>모서리 파쇄 해머</v>
      </c>
      <c r="G132" s="3" t="s">
        <v>179</v>
      </c>
      <c r="H132" s="3">
        <v>1</v>
      </c>
      <c r="J132" s="1">
        <v>10302</v>
      </c>
    </row>
    <row r="133" spans="1:10" x14ac:dyDescent="0.3">
      <c r="A133" s="3">
        <f t="shared" si="3"/>
        <v>132</v>
      </c>
      <c r="B133" s="3">
        <v>4</v>
      </c>
      <c r="C133" s="3">
        <v>10101</v>
      </c>
      <c r="D133" s="3">
        <v>1000</v>
      </c>
      <c r="E133" s="3">
        <v>2</v>
      </c>
      <c r="F133" s="29" t="str">
        <f>IF(E133=1,G133&amp;" 골드",IF(E133=2,INDEX('02.CardData'!E:E,MATCH(G133,'02.CardData'!B:B,0)),IF(E133=3,INDEX('03.RelicData'!E:E,MATCH(G133,'03.RelicData'!A:A,0)),IF(E133=4,INDEX('06.PackData'!C:C,MATCH(G133,'06.PackData'!A:A,0)),"X"))))</f>
        <v>집중형 십자 드릴</v>
      </c>
      <c r="G133" s="3" t="s">
        <v>181</v>
      </c>
      <c r="H133" s="3">
        <v>1</v>
      </c>
    </row>
    <row r="134" spans="1:10" x14ac:dyDescent="0.3">
      <c r="A134" s="3">
        <f t="shared" si="3"/>
        <v>133</v>
      </c>
      <c r="B134" s="3">
        <v>4</v>
      </c>
      <c r="C134" s="3">
        <v>10101</v>
      </c>
      <c r="D134" s="3">
        <v>1000</v>
      </c>
      <c r="E134" s="3">
        <v>2</v>
      </c>
      <c r="F134" s="29" t="str">
        <f>IF(E134=1,G134&amp;" 골드",IF(E134=2,INDEX('02.CardData'!E:E,MATCH(G134,'02.CardData'!B:B,0)),IF(E134=3,INDEX('03.RelicData'!E:E,MATCH(G134,'03.RelicData'!A:A,0)),IF(E134=4,INDEX('06.PackData'!C:C,MATCH(G134,'06.PackData'!A:A,0)),"X"))))</f>
        <v>황금 도끼</v>
      </c>
      <c r="G134" s="3" t="s">
        <v>183</v>
      </c>
      <c r="H134" s="3">
        <v>1</v>
      </c>
    </row>
    <row r="135" spans="1:10" x14ac:dyDescent="0.3">
      <c r="A135" s="3">
        <f t="shared" si="3"/>
        <v>134</v>
      </c>
      <c r="B135" s="3">
        <v>4</v>
      </c>
      <c r="C135" s="3">
        <v>10101</v>
      </c>
      <c r="D135" s="3">
        <v>1000</v>
      </c>
      <c r="E135" s="3">
        <v>2</v>
      </c>
      <c r="F135" s="29" t="str">
        <f>IF(E135=1,G135&amp;" 골드",IF(E135=2,INDEX('02.CardData'!E:E,MATCH(G135,'02.CardData'!B:B,0)),IF(E135=3,INDEX('03.RelicData'!E:E,MATCH(G135,'03.RelicData'!A:A,0)),IF(E135=4,INDEX('06.PackData'!C:C,MATCH(G135,'06.PackData'!A:A,0)),"X"))))</f>
        <v>대형 가위</v>
      </c>
      <c r="G135" s="3" t="s">
        <v>1136</v>
      </c>
      <c r="H135" s="3">
        <v>1</v>
      </c>
    </row>
    <row r="136" spans="1:10" x14ac:dyDescent="0.3">
      <c r="A136" s="3">
        <f t="shared" si="3"/>
        <v>135</v>
      </c>
      <c r="B136" s="3">
        <v>4</v>
      </c>
      <c r="C136" s="3">
        <v>10101</v>
      </c>
      <c r="D136" s="3">
        <v>3000</v>
      </c>
      <c r="E136" s="3">
        <v>2</v>
      </c>
      <c r="F136" s="29" t="str">
        <f>IF(E136=1,G136&amp;" 골드",IF(E136=2,INDEX('02.CardData'!E:E,MATCH(G136,'02.CardData'!B:B,0)),IF(E136=3,INDEX('03.RelicData'!E:E,MATCH(G136,'03.RelicData'!A:A,0)),IF(E136=4,INDEX('06.PackData'!C:C,MATCH(G136,'06.PackData'!A:A,0)),"X"))))</f>
        <v>균열 지층 분석</v>
      </c>
      <c r="G136" s="3" t="s">
        <v>1138</v>
      </c>
      <c r="H136" s="3">
        <v>1</v>
      </c>
    </row>
    <row r="137" spans="1:10" x14ac:dyDescent="0.3">
      <c r="A137" s="3">
        <f t="shared" si="3"/>
        <v>136</v>
      </c>
      <c r="B137" s="3">
        <v>4</v>
      </c>
      <c r="C137" s="3">
        <v>10201</v>
      </c>
      <c r="D137" s="3">
        <v>1000</v>
      </c>
      <c r="E137" s="3">
        <v>2</v>
      </c>
      <c r="F137" s="29" t="str">
        <f>IF(E137=1,G137&amp;" 골드",IF(E137=2,INDEX('02.CardData'!E:E,MATCH(G137,'02.CardData'!B:B,0)),IF(E137=3,INDEX('03.RelicData'!E:E,MATCH(G137,'03.RelicData'!A:A,0)),IF(E137=4,INDEX('06.PackData'!C:C,MATCH(G137,'06.PackData'!A:A,0)),"X"))))</f>
        <v>십자 끌+</v>
      </c>
      <c r="G137" s="3" t="s">
        <v>1183</v>
      </c>
      <c r="H137" s="3">
        <v>1</v>
      </c>
    </row>
    <row r="138" spans="1:10" x14ac:dyDescent="0.3">
      <c r="A138" s="3">
        <f t="shared" si="3"/>
        <v>137</v>
      </c>
      <c r="B138" s="3">
        <v>4</v>
      </c>
      <c r="C138" s="3">
        <v>10201</v>
      </c>
      <c r="D138" s="3">
        <v>1000</v>
      </c>
      <c r="E138" s="3">
        <v>2</v>
      </c>
      <c r="F138" s="29" t="str">
        <f>IF(E138=1,G138&amp;" 골드",IF(E138=2,INDEX('02.CardData'!E:E,MATCH(G138,'02.CardData'!B:B,0)),IF(E138=3,INDEX('03.RelicData'!E:E,MATCH(G138,'03.RelicData'!A:A,0)),IF(E138=4,INDEX('06.PackData'!C:C,MATCH(G138,'06.PackData'!A:A,0)),"X"))))</f>
        <v>곡괭이+</v>
      </c>
      <c r="G138" s="3" t="s">
        <v>176</v>
      </c>
      <c r="H138" s="3">
        <v>1</v>
      </c>
    </row>
    <row r="139" spans="1:10" x14ac:dyDescent="0.3">
      <c r="A139" s="3">
        <f t="shared" si="3"/>
        <v>138</v>
      </c>
      <c r="B139" s="3">
        <v>4</v>
      </c>
      <c r="C139" s="3">
        <v>10201</v>
      </c>
      <c r="D139" s="3">
        <v>1000</v>
      </c>
      <c r="E139" s="3">
        <v>2</v>
      </c>
      <c r="F139" s="29" t="str">
        <f>IF(E139=1,G139&amp;" 골드",IF(E139=2,INDEX('02.CardData'!E:E,MATCH(G139,'02.CardData'!B:B,0)),IF(E139=3,INDEX('03.RelicData'!E:E,MATCH(G139,'03.RelicData'!A:A,0)),IF(E139=4,INDEX('06.PackData'!C:C,MATCH(G139,'06.PackData'!A:A,0)),"X"))))</f>
        <v>새총+</v>
      </c>
      <c r="G139" s="3" t="s">
        <v>178</v>
      </c>
      <c r="H139" s="3">
        <v>1</v>
      </c>
    </row>
    <row r="140" spans="1:10" x14ac:dyDescent="0.3">
      <c r="A140" s="3">
        <f t="shared" si="3"/>
        <v>139</v>
      </c>
      <c r="B140" s="3">
        <v>4</v>
      </c>
      <c r="C140" s="3">
        <v>10201</v>
      </c>
      <c r="D140" s="3">
        <v>1000</v>
      </c>
      <c r="E140" s="3">
        <v>2</v>
      </c>
      <c r="F140" s="29" t="str">
        <f>IF(E140=1,G140&amp;" 골드",IF(E140=2,INDEX('02.CardData'!E:E,MATCH(G140,'02.CardData'!B:B,0)),IF(E140=3,INDEX('03.RelicData'!E:E,MATCH(G140,'03.RelicData'!A:A,0)),IF(E140=4,INDEX('06.PackData'!C:C,MATCH(G140,'06.PackData'!A:A,0)),"X"))))</f>
        <v>모서리 파쇄 해머+</v>
      </c>
      <c r="G140" s="3" t="s">
        <v>180</v>
      </c>
      <c r="H140" s="3">
        <v>1</v>
      </c>
    </row>
    <row r="141" spans="1:10" x14ac:dyDescent="0.3">
      <c r="A141" s="3">
        <f t="shared" si="3"/>
        <v>140</v>
      </c>
      <c r="B141" s="3">
        <v>4</v>
      </c>
      <c r="C141" s="3">
        <v>10201</v>
      </c>
      <c r="D141" s="3">
        <v>1000</v>
      </c>
      <c r="E141" s="3">
        <v>2</v>
      </c>
      <c r="F141" s="29" t="str">
        <f>IF(E141=1,G141&amp;" 골드",IF(E141=2,INDEX('02.CardData'!E:E,MATCH(G141,'02.CardData'!B:B,0)),IF(E141=3,INDEX('03.RelicData'!E:E,MATCH(G141,'03.RelicData'!A:A,0)),IF(E141=4,INDEX('06.PackData'!C:C,MATCH(G141,'06.PackData'!A:A,0)),"X"))))</f>
        <v>집중형 십자 드릴+</v>
      </c>
      <c r="G141" s="3" t="s">
        <v>182</v>
      </c>
      <c r="H141" s="3">
        <v>1</v>
      </c>
    </row>
    <row r="142" spans="1:10" x14ac:dyDescent="0.3">
      <c r="A142" s="3">
        <f t="shared" si="3"/>
        <v>141</v>
      </c>
      <c r="B142" s="3">
        <v>4</v>
      </c>
      <c r="C142" s="3">
        <v>10201</v>
      </c>
      <c r="D142" s="3">
        <v>1000</v>
      </c>
      <c r="E142" s="3">
        <v>2</v>
      </c>
      <c r="F142" s="29" t="str">
        <f>IF(E142=1,G142&amp;" 골드",IF(E142=2,INDEX('02.CardData'!E:E,MATCH(G142,'02.CardData'!B:B,0)),IF(E142=3,INDEX('03.RelicData'!E:E,MATCH(G142,'03.RelicData'!A:A,0)),IF(E142=4,INDEX('06.PackData'!C:C,MATCH(G142,'06.PackData'!A:A,0)),"X"))))</f>
        <v>황금 도끼+</v>
      </c>
      <c r="G142" s="3" t="s">
        <v>184</v>
      </c>
      <c r="H142" s="3">
        <v>1</v>
      </c>
    </row>
    <row r="143" spans="1:10" x14ac:dyDescent="0.3">
      <c r="A143" s="3">
        <f t="shared" si="3"/>
        <v>142</v>
      </c>
      <c r="B143" s="3">
        <v>4</v>
      </c>
      <c r="C143" s="3">
        <v>10201</v>
      </c>
      <c r="D143" s="3">
        <v>1000</v>
      </c>
      <c r="E143" s="3">
        <v>2</v>
      </c>
      <c r="F143" s="29" t="str">
        <f>IF(E143=1,G143&amp;" 골드",IF(E143=2,INDEX('02.CardData'!E:E,MATCH(G143,'02.CardData'!B:B,0)),IF(E143=3,INDEX('03.RelicData'!E:E,MATCH(G143,'03.RelicData'!A:A,0)),IF(E143=4,INDEX('06.PackData'!C:C,MATCH(G143,'06.PackData'!A:A,0)),"X"))))</f>
        <v>대형 가위+</v>
      </c>
      <c r="G143" s="3" t="s">
        <v>1184</v>
      </c>
      <c r="H143" s="3">
        <v>1</v>
      </c>
    </row>
    <row r="144" spans="1:10" x14ac:dyDescent="0.3">
      <c r="A144" s="3">
        <f t="shared" si="3"/>
        <v>143</v>
      </c>
      <c r="B144" s="3">
        <v>4</v>
      </c>
      <c r="C144" s="3">
        <v>10201</v>
      </c>
      <c r="D144" s="3">
        <v>3000</v>
      </c>
      <c r="E144" s="3">
        <v>2</v>
      </c>
      <c r="F144" s="29" t="str">
        <f>IF(E144=1,G144&amp;" 골드",IF(E144=2,INDEX('02.CardData'!E:E,MATCH(G144,'02.CardData'!B:B,0)),IF(E144=3,INDEX('03.RelicData'!E:E,MATCH(G144,'03.RelicData'!A:A,0)),IF(E144=4,INDEX('06.PackData'!C:C,MATCH(G144,'06.PackData'!A:A,0)),"X"))))</f>
        <v>균열 지층 분석+</v>
      </c>
      <c r="G144" s="3" t="s">
        <v>1186</v>
      </c>
      <c r="H144" s="3">
        <v>1</v>
      </c>
    </row>
    <row r="145" spans="1:8" x14ac:dyDescent="0.3">
      <c r="A145" s="3">
        <f t="shared" si="3"/>
        <v>144</v>
      </c>
      <c r="B145" s="3">
        <v>4</v>
      </c>
      <c r="C145" s="3">
        <v>10301</v>
      </c>
      <c r="D145" s="3">
        <v>500</v>
      </c>
      <c r="E145" s="3">
        <v>2</v>
      </c>
      <c r="F145" s="29" t="str">
        <f>IF(E145=1,G145&amp;" 골드",IF(E145=2,INDEX('02.CardData'!E:E,MATCH(G145,'02.CardData'!B:B,0)),IF(E145=3,INDEX('03.RelicData'!E:E,MATCH(G145,'03.RelicData'!A:A,0)),IF(E145=4,INDEX('06.PackData'!C:C,MATCH(G145,'06.PackData'!A:A,0)),"X"))))</f>
        <v>십자 끌+</v>
      </c>
      <c r="G145" s="3" t="s">
        <v>1183</v>
      </c>
      <c r="H145" s="3">
        <v>1</v>
      </c>
    </row>
    <row r="146" spans="1:8" x14ac:dyDescent="0.3">
      <c r="A146" s="3">
        <f t="shared" si="3"/>
        <v>145</v>
      </c>
      <c r="B146" s="3">
        <v>4</v>
      </c>
      <c r="C146" s="3">
        <v>10301</v>
      </c>
      <c r="D146" s="3">
        <v>500</v>
      </c>
      <c r="E146" s="3">
        <v>2</v>
      </c>
      <c r="F146" s="29" t="str">
        <f>IF(E146=1,G146&amp;" 골드",IF(E146=2,INDEX('02.CardData'!E:E,MATCH(G146,'02.CardData'!B:B,0)),IF(E146=3,INDEX('03.RelicData'!E:E,MATCH(G146,'03.RelicData'!A:A,0)),IF(E146=4,INDEX('06.PackData'!C:C,MATCH(G146,'06.PackData'!A:A,0)),"X"))))</f>
        <v>곡괭이+</v>
      </c>
      <c r="G146" s="3" t="s">
        <v>176</v>
      </c>
      <c r="H146" s="3">
        <v>1</v>
      </c>
    </row>
    <row r="147" spans="1:8" x14ac:dyDescent="0.3">
      <c r="A147" s="3">
        <f t="shared" si="3"/>
        <v>146</v>
      </c>
      <c r="B147" s="3">
        <v>4</v>
      </c>
      <c r="C147" s="3">
        <v>10301</v>
      </c>
      <c r="D147" s="3">
        <v>500</v>
      </c>
      <c r="E147" s="3">
        <v>2</v>
      </c>
      <c r="F147" s="29" t="str">
        <f>IF(E147=1,G147&amp;" 골드",IF(E147=2,INDEX('02.CardData'!E:E,MATCH(G147,'02.CardData'!B:B,0)),IF(E147=3,INDEX('03.RelicData'!E:E,MATCH(G147,'03.RelicData'!A:A,0)),IF(E147=4,INDEX('06.PackData'!C:C,MATCH(G147,'06.PackData'!A:A,0)),"X"))))</f>
        <v>새총+</v>
      </c>
      <c r="G147" s="3" t="s">
        <v>178</v>
      </c>
      <c r="H147" s="3">
        <v>1</v>
      </c>
    </row>
    <row r="148" spans="1:8" x14ac:dyDescent="0.3">
      <c r="A148" s="3">
        <f t="shared" si="3"/>
        <v>147</v>
      </c>
      <c r="B148" s="3">
        <v>4</v>
      </c>
      <c r="C148" s="3">
        <v>10301</v>
      </c>
      <c r="D148" s="3">
        <v>500</v>
      </c>
      <c r="E148" s="3">
        <v>2</v>
      </c>
      <c r="F148" s="29" t="str">
        <f>IF(E148=1,G148&amp;" 골드",IF(E148=2,INDEX('02.CardData'!E:E,MATCH(G148,'02.CardData'!B:B,0)),IF(E148=3,INDEX('03.RelicData'!E:E,MATCH(G148,'03.RelicData'!A:A,0)),IF(E148=4,INDEX('06.PackData'!C:C,MATCH(G148,'06.PackData'!A:A,0)),"X"))))</f>
        <v>모서리 파쇄 해머+</v>
      </c>
      <c r="G148" s="3" t="s">
        <v>180</v>
      </c>
      <c r="H148" s="3">
        <v>1</v>
      </c>
    </row>
    <row r="149" spans="1:8" x14ac:dyDescent="0.3">
      <c r="A149" s="3">
        <f t="shared" si="3"/>
        <v>148</v>
      </c>
      <c r="B149" s="3">
        <v>4</v>
      </c>
      <c r="C149" s="3">
        <v>10301</v>
      </c>
      <c r="D149" s="3">
        <v>500</v>
      </c>
      <c r="E149" s="3">
        <v>2</v>
      </c>
      <c r="F149" s="29" t="str">
        <f>IF(E149=1,G149&amp;" 골드",IF(E149=2,INDEX('02.CardData'!E:E,MATCH(G149,'02.CardData'!B:B,0)),IF(E149=3,INDEX('03.RelicData'!E:E,MATCH(G149,'03.RelicData'!A:A,0)),IF(E149=4,INDEX('06.PackData'!C:C,MATCH(G149,'06.PackData'!A:A,0)),"X"))))</f>
        <v>집중형 십자 드릴+</v>
      </c>
      <c r="G149" s="3" t="s">
        <v>182</v>
      </c>
      <c r="H149" s="3">
        <v>1</v>
      </c>
    </row>
    <row r="150" spans="1:8" x14ac:dyDescent="0.3">
      <c r="A150" s="3">
        <f t="shared" si="3"/>
        <v>149</v>
      </c>
      <c r="B150" s="3">
        <v>4</v>
      </c>
      <c r="C150" s="3">
        <v>10301</v>
      </c>
      <c r="D150" s="3">
        <v>500</v>
      </c>
      <c r="E150" s="3">
        <v>2</v>
      </c>
      <c r="F150" s="29" t="str">
        <f>IF(E150=1,G150&amp;" 골드",IF(E150=2,INDEX('02.CardData'!E:E,MATCH(G150,'02.CardData'!B:B,0)),IF(E150=3,INDEX('03.RelicData'!E:E,MATCH(G150,'03.RelicData'!A:A,0)),IF(E150=4,INDEX('06.PackData'!C:C,MATCH(G150,'06.PackData'!A:A,0)),"X"))))</f>
        <v>황금 도끼+</v>
      </c>
      <c r="G150" s="3" t="s">
        <v>184</v>
      </c>
      <c r="H150" s="3">
        <v>1</v>
      </c>
    </row>
    <row r="151" spans="1:8" x14ac:dyDescent="0.3">
      <c r="A151" s="3">
        <f t="shared" si="3"/>
        <v>150</v>
      </c>
      <c r="B151" s="3">
        <v>4</v>
      </c>
      <c r="C151" s="3">
        <v>10301</v>
      </c>
      <c r="D151" s="3">
        <v>500</v>
      </c>
      <c r="E151" s="3">
        <v>2</v>
      </c>
      <c r="F151" s="29" t="str">
        <f>IF(E151=1,G151&amp;" 골드",IF(E151=2,INDEX('02.CardData'!E:E,MATCH(G151,'02.CardData'!B:B,0)),IF(E151=3,INDEX('03.RelicData'!E:E,MATCH(G151,'03.RelicData'!A:A,0)),IF(E151=4,INDEX('06.PackData'!C:C,MATCH(G151,'06.PackData'!A:A,0)),"X"))))</f>
        <v>대형 가위+</v>
      </c>
      <c r="G151" s="3" t="s">
        <v>1184</v>
      </c>
      <c r="H151" s="3">
        <v>1</v>
      </c>
    </row>
    <row r="152" spans="1:8" x14ac:dyDescent="0.3">
      <c r="A152" s="3">
        <f t="shared" si="3"/>
        <v>151</v>
      </c>
      <c r="B152" s="3">
        <v>4</v>
      </c>
      <c r="C152" s="3">
        <v>10301</v>
      </c>
      <c r="D152" s="3">
        <v>6500</v>
      </c>
      <c r="E152" s="3">
        <v>2</v>
      </c>
      <c r="F152" s="29" t="str">
        <f>IF(E152=1,G152&amp;" 골드",IF(E152=2,INDEX('02.CardData'!E:E,MATCH(G152,'02.CardData'!B:B,0)),IF(E152=3,INDEX('03.RelicData'!E:E,MATCH(G152,'03.RelicData'!A:A,0)),IF(E152=4,INDEX('06.PackData'!C:C,MATCH(G152,'06.PackData'!A:A,0)),"X"))))</f>
        <v>균열 지층 분석+</v>
      </c>
      <c r="G152" s="3" t="s">
        <v>1186</v>
      </c>
      <c r="H152" s="3">
        <v>1</v>
      </c>
    </row>
    <row r="153" spans="1:8" x14ac:dyDescent="0.3">
      <c r="A153" s="3">
        <f t="shared" si="3"/>
        <v>152</v>
      </c>
      <c r="B153" s="3">
        <v>4</v>
      </c>
      <c r="C153" s="3">
        <v>10302</v>
      </c>
      <c r="D153" s="3">
        <v>1</v>
      </c>
      <c r="E153" s="3">
        <v>3</v>
      </c>
      <c r="F153" s="29" t="str">
        <f>IF(E153=1,G153&amp;" 골드",IF(E153=2,INDEX('02.CardData'!E:E,MATCH(G153,'02.CardData'!B:B,0)),IF(E153=3,INDEX('03.RelicData'!E:E,MATCH(G153,'03.RelicData'!A:A,0)),IF(E153=4,INDEX('06.PackData'!C:C,MATCH(G153,'06.PackData'!A:A,0)),"X"))))</f>
        <v>정밀 타격 오일</v>
      </c>
      <c r="G153" s="3" t="s">
        <v>1187</v>
      </c>
      <c r="H153" s="3">
        <v>1</v>
      </c>
    </row>
    <row r="154" spans="1:8" x14ac:dyDescent="0.3">
      <c r="A154" s="3">
        <f t="shared" si="3"/>
        <v>153</v>
      </c>
      <c r="B154" s="3">
        <v>4</v>
      </c>
      <c r="C154" s="3">
        <v>10302</v>
      </c>
      <c r="D154" s="3">
        <v>1</v>
      </c>
      <c r="E154" s="3">
        <v>3</v>
      </c>
      <c r="F154" s="29" t="str">
        <f>IF(E154=1,G154&amp;" 골드",IF(E154=2,INDEX('02.CardData'!E:E,MATCH(G154,'02.CardData'!B:B,0)),IF(E154=3,INDEX('03.RelicData'!E:E,MATCH(G154,'03.RelicData'!A:A,0)),IF(E154=4,INDEX('06.PackData'!C:C,MATCH(G154,'06.PackData'!A:A,0)),"X"))))</f>
        <v>강화 손잡이</v>
      </c>
      <c r="G154" s="3" t="s">
        <v>614</v>
      </c>
      <c r="H154" s="3">
        <v>1</v>
      </c>
    </row>
    <row r="155" spans="1:8" x14ac:dyDescent="0.3">
      <c r="A155" s="3">
        <f t="shared" si="3"/>
        <v>154</v>
      </c>
      <c r="B155" s="3">
        <v>4</v>
      </c>
      <c r="C155" s="3">
        <v>10302</v>
      </c>
      <c r="D155" s="3">
        <v>1</v>
      </c>
      <c r="E155" s="3">
        <v>3</v>
      </c>
      <c r="F155" s="29" t="str">
        <f>IF(E155=1,G155&amp;" 골드",IF(E155=2,INDEX('02.CardData'!E:E,MATCH(G155,'02.CardData'!B:B,0)),IF(E155=3,INDEX('03.RelicData'!E:E,MATCH(G155,'03.RelicData'!A:A,0)),IF(E155=4,INDEX('06.PackData'!C:C,MATCH(G155,'06.PackData'!A:A,0)),"X"))))</f>
        <v>숙련공의 숫돌</v>
      </c>
      <c r="G155" s="3" t="s">
        <v>615</v>
      </c>
      <c r="H155" s="3">
        <v>1</v>
      </c>
    </row>
    <row r="156" spans="1:8" x14ac:dyDescent="0.3">
      <c r="A156" s="3">
        <f t="shared" si="3"/>
        <v>155</v>
      </c>
      <c r="B156" s="3">
        <v>4</v>
      </c>
      <c r="C156" s="3">
        <v>10302</v>
      </c>
      <c r="D156" s="3">
        <v>1</v>
      </c>
      <c r="E156" s="3">
        <v>3</v>
      </c>
      <c r="F156" s="29" t="str">
        <f>IF(E156=1,G156&amp;" 골드",IF(E156=2,INDEX('02.CardData'!E:E,MATCH(G156,'02.CardData'!B:B,0)),IF(E156=3,INDEX('03.RelicData'!E:E,MATCH(G156,'03.RelicData'!A:A,0)),IF(E156=4,INDEX('06.PackData'!C:C,MATCH(G156,'06.PackData'!A:A,0)),"X"))))</f>
        <v>부서진 도구의 기억</v>
      </c>
      <c r="G156" s="3" t="s">
        <v>616</v>
      </c>
      <c r="H156" s="3">
        <v>1</v>
      </c>
    </row>
    <row r="157" spans="1:8" x14ac:dyDescent="0.3">
      <c r="A157" s="3">
        <f t="shared" si="3"/>
        <v>156</v>
      </c>
      <c r="B157" s="3">
        <v>4</v>
      </c>
      <c r="C157" s="3">
        <v>10302</v>
      </c>
      <c r="D157" s="3">
        <v>1</v>
      </c>
      <c r="E157" s="3">
        <v>3</v>
      </c>
      <c r="F157" s="29" t="str">
        <f>IF(E157=1,G157&amp;" 골드",IF(E157=2,INDEX('02.CardData'!E:E,MATCH(G157,'02.CardData'!B:B,0)),IF(E157=3,INDEX('03.RelicData'!E:E,MATCH(G157,'03.RelicData'!A:A,0)),IF(E157=4,INDEX('06.PackData'!C:C,MATCH(G157,'06.PackData'!A:A,0)),"X"))))</f>
        <v>스프레이 마감제</v>
      </c>
      <c r="G157" s="3" t="s">
        <v>617</v>
      </c>
      <c r="H157" s="3">
        <v>1</v>
      </c>
    </row>
    <row r="158" spans="1:8" x14ac:dyDescent="0.3">
      <c r="A158" s="3">
        <f t="shared" si="3"/>
        <v>157</v>
      </c>
      <c r="B158" s="3">
        <v>4</v>
      </c>
      <c r="C158" s="3">
        <v>10302</v>
      </c>
      <c r="D158" s="3">
        <v>1</v>
      </c>
      <c r="E158" s="3">
        <v>3</v>
      </c>
      <c r="F158" s="29" t="str">
        <f>IF(E158=1,G158&amp;" 골드",IF(E158=2,INDEX('02.CardData'!E:E,MATCH(G158,'02.CardData'!B:B,0)),IF(E158=3,INDEX('03.RelicData'!E:E,MATCH(G158,'03.RelicData'!A:A,0)),IF(E158=4,INDEX('06.PackData'!C:C,MATCH(G158,'06.PackData'!A:A,0)),"X"))))</f>
        <v>작은 금괴</v>
      </c>
      <c r="G158" s="3" t="s">
        <v>618</v>
      </c>
      <c r="H158" s="3">
        <v>1</v>
      </c>
    </row>
    <row r="159" spans="1:8" x14ac:dyDescent="0.3">
      <c r="A159" s="3">
        <f t="shared" si="3"/>
        <v>158</v>
      </c>
      <c r="B159" s="3">
        <v>4</v>
      </c>
      <c r="C159" s="3">
        <v>10302</v>
      </c>
      <c r="D159" s="3">
        <v>1</v>
      </c>
      <c r="E159" s="3">
        <v>3</v>
      </c>
      <c r="F159" s="29" t="str">
        <f>IF(E159=1,G159&amp;" 골드",IF(E159=2,INDEX('02.CardData'!E:E,MATCH(G159,'02.CardData'!B:B,0)),IF(E159=3,INDEX('03.RelicData'!E:E,MATCH(G159,'03.RelicData'!A:A,0)),IF(E159=4,INDEX('06.PackData'!C:C,MATCH(G159,'06.PackData'!A:A,0)),"X"))))</f>
        <v>확장 배낭</v>
      </c>
      <c r="G159" s="3" t="s">
        <v>619</v>
      </c>
      <c r="H159" s="3">
        <v>1</v>
      </c>
    </row>
    <row r="160" spans="1:8" x14ac:dyDescent="0.3">
      <c r="A160" s="3">
        <f t="shared" si="3"/>
        <v>159</v>
      </c>
      <c r="B160" s="3">
        <v>4</v>
      </c>
      <c r="C160" s="3">
        <v>10302</v>
      </c>
      <c r="D160" s="3">
        <v>1</v>
      </c>
      <c r="E160" s="3">
        <v>3</v>
      </c>
      <c r="F160" s="29" t="str">
        <f>IF(E160=1,G160&amp;" 골드",IF(E160=2,INDEX('02.CardData'!E:E,MATCH(G160,'02.CardData'!B:B,0)),IF(E160=3,INDEX('03.RelicData'!E:E,MATCH(G160,'03.RelicData'!A:A,0)),IF(E160=4,INDEX('06.PackData'!C:C,MATCH(G160,'06.PackData'!A:A,0)),"X"))))</f>
        <v>정밀 타격 레이저</v>
      </c>
      <c r="G160" s="3" t="s">
        <v>621</v>
      </c>
      <c r="H160" s="3">
        <v>1</v>
      </c>
    </row>
    <row r="161" spans="1:8" x14ac:dyDescent="0.3">
      <c r="A161" s="3">
        <f t="shared" si="3"/>
        <v>160</v>
      </c>
      <c r="B161" s="3">
        <v>4</v>
      </c>
      <c r="C161" s="3">
        <v>10302</v>
      </c>
      <c r="D161" s="3">
        <v>1</v>
      </c>
      <c r="E161" s="3">
        <v>3</v>
      </c>
      <c r="F161" s="29" t="str">
        <f>IF(E161=1,G161&amp;" 골드",IF(E161=2,INDEX('02.CardData'!E:E,MATCH(G161,'02.CardData'!B:B,0)),IF(E161=3,INDEX('03.RelicData'!E:E,MATCH(G161,'03.RelicData'!A:A,0)),IF(E161=4,INDEX('06.PackData'!C:C,MATCH(G161,'06.PackData'!A:A,0)),"X"))))</f>
        <v>광역 공격 망치</v>
      </c>
      <c r="G161" s="3" t="s">
        <v>622</v>
      </c>
      <c r="H161" s="3">
        <v>1</v>
      </c>
    </row>
    <row r="162" spans="1:8" x14ac:dyDescent="0.3">
      <c r="A162" s="3">
        <f t="shared" si="3"/>
        <v>161</v>
      </c>
      <c r="B162" s="3">
        <v>4</v>
      </c>
      <c r="C162" s="3">
        <v>10302</v>
      </c>
      <c r="D162" s="3">
        <v>1</v>
      </c>
      <c r="E162" s="3">
        <v>3</v>
      </c>
      <c r="F162" s="29" t="str">
        <f>IF(E162=1,G162&amp;" 골드",IF(E162=2,INDEX('02.CardData'!E:E,MATCH(G162,'02.CardData'!B:B,0)),IF(E162=3,INDEX('03.RelicData'!E:E,MATCH(G162,'03.RelicData'!A:A,0)),IF(E162=4,INDEX('06.PackData'!C:C,MATCH(G162,'06.PackData'!A:A,0)),"X"))))</f>
        <v>긴급 수리 테이프</v>
      </c>
      <c r="G162" s="3" t="s">
        <v>623</v>
      </c>
      <c r="H162" s="3">
        <v>1</v>
      </c>
    </row>
    <row r="163" spans="1:8" x14ac:dyDescent="0.3">
      <c r="A163" s="3">
        <f t="shared" si="3"/>
        <v>162</v>
      </c>
      <c r="B163" s="3">
        <v>4</v>
      </c>
      <c r="C163" s="3">
        <v>10302</v>
      </c>
      <c r="D163" s="3">
        <v>1</v>
      </c>
      <c r="E163" s="3">
        <v>3</v>
      </c>
      <c r="F163" s="29" t="str">
        <f>IF(E163=1,G163&amp;" 골드",IF(E163=2,INDEX('02.CardData'!E:E,MATCH(G163,'02.CardData'!B:B,0)),IF(E163=3,INDEX('03.RelicData'!E:E,MATCH(G163,'03.RelicData'!A:A,0)),IF(E163=4,INDEX('06.PackData'!C:C,MATCH(G163,'06.PackData'!A:A,0)),"X"))))</f>
        <v>고대의 나침반</v>
      </c>
      <c r="G163" s="3" t="s">
        <v>624</v>
      </c>
      <c r="H163" s="3">
        <v>1</v>
      </c>
    </row>
    <row r="164" spans="1:8" x14ac:dyDescent="0.3">
      <c r="A164" s="3">
        <f t="shared" ref="A164:A171" si="4">ROW()-1</f>
        <v>163</v>
      </c>
      <c r="B164" s="3">
        <v>4</v>
      </c>
      <c r="C164" s="3">
        <v>10302</v>
      </c>
      <c r="D164" s="3">
        <v>1</v>
      </c>
      <c r="E164" s="3">
        <v>3</v>
      </c>
      <c r="F164" s="29" t="str">
        <f>IF(E164=1,G164&amp;" 골드",IF(E164=2,INDEX('02.CardData'!E:E,MATCH(G164,'02.CardData'!B:B,0)),IF(E164=3,INDEX('03.RelicData'!E:E,MATCH(G164,'03.RelicData'!A:A,0)),IF(E164=4,INDEX('06.PackData'!C:C,MATCH(G164,'06.PackData'!A:A,0)),"X"))))</f>
        <v>유적 조사 노트</v>
      </c>
      <c r="G164" s="3" t="s">
        <v>626</v>
      </c>
      <c r="H164" s="3">
        <v>1</v>
      </c>
    </row>
    <row r="165" spans="1:8" x14ac:dyDescent="0.3">
      <c r="A165" s="3">
        <f t="shared" si="4"/>
        <v>164</v>
      </c>
      <c r="B165" s="3">
        <v>4</v>
      </c>
      <c r="C165" s="3">
        <v>10302</v>
      </c>
      <c r="D165" s="3">
        <v>1</v>
      </c>
      <c r="E165" s="3">
        <v>3</v>
      </c>
      <c r="F165" s="29" t="str">
        <f>IF(E165=1,G165&amp;" 골드",IF(E165=2,INDEX('02.CardData'!E:E,MATCH(G165,'02.CardData'!B:B,0)),IF(E165=3,INDEX('03.RelicData'!E:E,MATCH(G165,'03.RelicData'!A:A,0)),IF(E165=4,INDEX('06.PackData'!C:C,MATCH(G165,'06.PackData'!A:A,0)),"X"))))</f>
        <v>거래기록 장부</v>
      </c>
      <c r="G165" s="3" t="s">
        <v>627</v>
      </c>
      <c r="H165" s="3">
        <v>1</v>
      </c>
    </row>
    <row r="166" spans="1:8" x14ac:dyDescent="0.3">
      <c r="A166" s="3">
        <f t="shared" si="4"/>
        <v>165</v>
      </c>
      <c r="B166" s="3">
        <v>4</v>
      </c>
      <c r="C166" s="3">
        <v>10302</v>
      </c>
      <c r="D166" s="3">
        <v>1</v>
      </c>
      <c r="E166" s="3">
        <v>3</v>
      </c>
      <c r="F166" s="29" t="str">
        <f>IF(E166=1,G166&amp;" 골드",IF(E166=2,INDEX('02.CardData'!E:E,MATCH(G166,'02.CardData'!B:B,0)),IF(E166=3,INDEX('03.RelicData'!E:E,MATCH(G166,'03.RelicData'!A:A,0)),IF(E166=4,INDEX('06.PackData'!C:C,MATCH(G166,'06.PackData'!A:A,0)),"X"))))</f>
        <v>대못</v>
      </c>
      <c r="G166" s="3" t="s">
        <v>628</v>
      </c>
      <c r="H166" s="3">
        <v>1</v>
      </c>
    </row>
    <row r="167" spans="1:8" x14ac:dyDescent="0.3">
      <c r="A167" s="3">
        <f t="shared" si="4"/>
        <v>166</v>
      </c>
      <c r="B167" s="3">
        <v>4</v>
      </c>
      <c r="C167" s="3">
        <v>10302</v>
      </c>
      <c r="D167" s="3">
        <v>1</v>
      </c>
      <c r="E167" s="3">
        <v>3</v>
      </c>
      <c r="F167" s="29" t="str">
        <f>IF(E167=1,G167&amp;" 골드",IF(E167=2,INDEX('02.CardData'!E:E,MATCH(G167,'02.CardData'!B:B,0)),IF(E167=3,INDEX('03.RelicData'!E:E,MATCH(G167,'03.RelicData'!A:A,0)),IF(E167=4,INDEX('06.PackData'!C:C,MATCH(G167,'06.PackData'!A:A,0)),"X"))))</f>
        <v>균열 파편 강화*</v>
      </c>
      <c r="G167" s="3" t="s">
        <v>629</v>
      </c>
      <c r="H167" s="3">
        <v>1</v>
      </c>
    </row>
    <row r="168" spans="1:8" x14ac:dyDescent="0.3">
      <c r="A168" s="3">
        <f t="shared" si="4"/>
        <v>167</v>
      </c>
      <c r="B168" s="3">
        <v>4</v>
      </c>
      <c r="C168" s="3">
        <v>10302</v>
      </c>
      <c r="D168" s="3">
        <v>1</v>
      </c>
      <c r="E168" s="3">
        <v>3</v>
      </c>
      <c r="F168" s="29" t="str">
        <f>IF(E168=1,G168&amp;" 골드",IF(E168=2,INDEX('02.CardData'!E:E,MATCH(G168,'02.CardData'!B:B,0)),IF(E168=3,INDEX('03.RelicData'!E:E,MATCH(G168,'03.RelicData'!A:A,0)),IF(E168=4,INDEX('06.PackData'!C:C,MATCH(G168,'06.PackData'!A:A,0)),"X"))))</f>
        <v>완벽한 도구함</v>
      </c>
      <c r="G168" s="3" t="s">
        <v>630</v>
      </c>
      <c r="H168" s="3">
        <v>1</v>
      </c>
    </row>
    <row r="169" spans="1:8" x14ac:dyDescent="0.3">
      <c r="A169" s="3">
        <f t="shared" si="4"/>
        <v>168</v>
      </c>
      <c r="B169" s="3">
        <v>4</v>
      </c>
      <c r="C169" s="3">
        <v>10302</v>
      </c>
      <c r="D169" s="3">
        <v>1</v>
      </c>
      <c r="E169" s="3">
        <v>3</v>
      </c>
      <c r="F169" s="29" t="str">
        <f>IF(E169=1,G169&amp;" 골드",IF(E169=2,INDEX('02.CardData'!E:E,MATCH(G169,'02.CardData'!B:B,0)),IF(E169=3,INDEX('03.RelicData'!E:E,MATCH(G169,'03.RelicData'!A:A,0)),IF(E169=4,INDEX('06.PackData'!C:C,MATCH(G169,'06.PackData'!A:A,0)),"X"))))</f>
        <v>정밀 조준경</v>
      </c>
      <c r="G169" s="3" t="s">
        <v>633</v>
      </c>
      <c r="H169" s="3">
        <v>1</v>
      </c>
    </row>
    <row r="170" spans="1:8" x14ac:dyDescent="0.3">
      <c r="A170" s="3">
        <f t="shared" si="4"/>
        <v>169</v>
      </c>
      <c r="B170" s="3">
        <v>4</v>
      </c>
      <c r="C170" s="3">
        <v>10302</v>
      </c>
      <c r="D170" s="3">
        <v>1</v>
      </c>
      <c r="E170" s="3">
        <v>3</v>
      </c>
      <c r="F170" s="29" t="str">
        <f>IF(E170=1,G170&amp;" 골드",IF(E170=2,INDEX('02.CardData'!E:E,MATCH(G170,'02.CardData'!B:B,0)),IF(E170=3,INDEX('03.RelicData'!E:E,MATCH(G170,'03.RelicData'!A:A,0)),IF(E170=4,INDEX('06.PackData'!C:C,MATCH(G170,'06.PackData'!A:A,0)),"X"))))</f>
        <v>수평계</v>
      </c>
      <c r="G170" s="3" t="s">
        <v>634</v>
      </c>
      <c r="H170" s="3">
        <v>1</v>
      </c>
    </row>
    <row r="171" spans="1:8" x14ac:dyDescent="0.3">
      <c r="A171" s="3">
        <f t="shared" si="4"/>
        <v>170</v>
      </c>
      <c r="B171" s="3">
        <v>4</v>
      </c>
      <c r="C171" s="3">
        <v>10302</v>
      </c>
      <c r="D171" s="3">
        <v>1</v>
      </c>
      <c r="E171" s="3">
        <v>3</v>
      </c>
      <c r="F171" s="29" t="str">
        <f>IF(E171=1,G171&amp;" 골드",IF(E171=2,INDEX('02.CardData'!E:E,MATCH(G171,'02.CardData'!B:B,0)),IF(E171=3,INDEX('03.RelicData'!E:E,MATCH(G171,'03.RelicData'!A:A,0)),IF(E171=4,INDEX('06.PackData'!C:C,MATCH(G171,'06.PackData'!A:A,0)),"X"))))</f>
        <v>세로추</v>
      </c>
      <c r="G171" s="3" t="s">
        <v>1188</v>
      </c>
      <c r="H171" s="3">
        <v>1</v>
      </c>
    </row>
  </sheetData>
  <mergeCells count="3">
    <mergeCell ref="L2:N2"/>
    <mergeCell ref="P5:R5"/>
    <mergeCell ref="P12:T12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412B8-66CB-4423-BAC9-7BD9692DC409}">
  <sheetPr codeName="Sheet10"/>
  <dimension ref="A1:N54"/>
  <sheetViews>
    <sheetView workbookViewId="0"/>
  </sheetViews>
  <sheetFormatPr defaultRowHeight="12" x14ac:dyDescent="0.3"/>
  <cols>
    <col min="1" max="1" width="3.125" style="28" bestFit="1" customWidth="1"/>
    <col min="2" max="2" width="9.625" style="28" bestFit="1" customWidth="1"/>
    <col min="3" max="3" width="38.875" style="28" bestFit="1" customWidth="1"/>
    <col min="4" max="5" width="9" style="28"/>
    <col min="6" max="6" width="2.625" style="17" customWidth="1"/>
    <col min="7" max="8" width="9" style="1"/>
    <col min="9" max="9" width="11.125" style="1" bestFit="1" customWidth="1"/>
    <col min="10" max="10" width="9" style="1"/>
    <col min="11" max="11" width="1.875" style="1" customWidth="1"/>
    <col min="12" max="12" width="5.125" style="1" bestFit="1" customWidth="1"/>
    <col min="13" max="13" width="9.5" style="1" bestFit="1" customWidth="1"/>
    <col min="14" max="14" width="21.625" style="1" bestFit="1" customWidth="1"/>
    <col min="15" max="16384" width="9" style="1"/>
  </cols>
  <sheetData>
    <row r="1" spans="1:14" x14ac:dyDescent="0.3">
      <c r="A1" s="28" t="s">
        <v>1178</v>
      </c>
      <c r="B1" s="28" t="s">
        <v>1182</v>
      </c>
      <c r="C1" s="28" t="s">
        <v>1180</v>
      </c>
      <c r="D1" s="28" t="s">
        <v>1129</v>
      </c>
      <c r="E1" s="28" t="s">
        <v>1130</v>
      </c>
    </row>
    <row r="2" spans="1:14" x14ac:dyDescent="0.3">
      <c r="A2" s="28">
        <v>1</v>
      </c>
      <c r="B2" s="28">
        <v>1</v>
      </c>
      <c r="C2" s="28" t="s">
        <v>1133</v>
      </c>
      <c r="D2" s="28">
        <v>6</v>
      </c>
      <c r="E2" s="28">
        <v>8</v>
      </c>
      <c r="H2" s="32" t="s">
        <v>1189</v>
      </c>
      <c r="I2" s="34"/>
      <c r="J2" s="35"/>
    </row>
    <row r="3" spans="1:14" x14ac:dyDescent="0.3">
      <c r="A3" s="28">
        <v>2</v>
      </c>
      <c r="B3" s="28">
        <v>1</v>
      </c>
      <c r="C3" s="28" t="s">
        <v>1134</v>
      </c>
      <c r="D3" s="28">
        <v>6</v>
      </c>
      <c r="E3" s="28">
        <v>8</v>
      </c>
      <c r="H3" s="2" t="s">
        <v>86</v>
      </c>
      <c r="I3" s="2" t="s">
        <v>87</v>
      </c>
      <c r="J3" s="2" t="s">
        <v>88</v>
      </c>
    </row>
    <row r="4" spans="1:14" x14ac:dyDescent="0.3">
      <c r="A4" s="28">
        <v>3</v>
      </c>
      <c r="B4" s="28">
        <v>1</v>
      </c>
      <c r="C4" s="28" t="s">
        <v>167</v>
      </c>
      <c r="D4" s="28">
        <v>11</v>
      </c>
      <c r="E4" s="28">
        <v>13</v>
      </c>
      <c r="H4" s="2" t="s">
        <v>1177</v>
      </c>
      <c r="I4" s="6" t="s">
        <v>89</v>
      </c>
      <c r="J4" s="6" t="s">
        <v>89</v>
      </c>
    </row>
    <row r="5" spans="1:14" x14ac:dyDescent="0.3">
      <c r="A5" s="28">
        <v>4</v>
      </c>
      <c r="B5" s="28">
        <v>1</v>
      </c>
      <c r="C5" s="28" t="s">
        <v>168</v>
      </c>
      <c r="D5" s="28">
        <v>11</v>
      </c>
      <c r="E5" s="28">
        <v>13</v>
      </c>
      <c r="H5" s="2" t="s">
        <v>1181</v>
      </c>
      <c r="I5" s="6" t="s">
        <v>1192</v>
      </c>
      <c r="J5" s="6" t="s">
        <v>101</v>
      </c>
      <c r="L5" s="42" t="s">
        <v>1194</v>
      </c>
      <c r="M5" s="42"/>
      <c r="N5" s="42"/>
    </row>
    <row r="6" spans="1:14" x14ac:dyDescent="0.3">
      <c r="A6" s="28">
        <v>5</v>
      </c>
      <c r="B6" s="28">
        <v>1</v>
      </c>
      <c r="C6" s="28" t="s">
        <v>169</v>
      </c>
      <c r="D6" s="28">
        <v>6</v>
      </c>
      <c r="E6" s="28">
        <v>8</v>
      </c>
      <c r="H6" s="2" t="s">
        <v>1179</v>
      </c>
      <c r="I6" s="6" t="s">
        <v>1193</v>
      </c>
      <c r="J6" s="6" t="s">
        <v>89</v>
      </c>
      <c r="L6" s="3" t="s">
        <v>1156</v>
      </c>
      <c r="M6" s="3" t="s">
        <v>87</v>
      </c>
      <c r="N6" s="3" t="s">
        <v>1180</v>
      </c>
    </row>
    <row r="7" spans="1:14" x14ac:dyDescent="0.3">
      <c r="A7" s="28">
        <v>6</v>
      </c>
      <c r="B7" s="28">
        <v>1</v>
      </c>
      <c r="C7" s="28" t="s">
        <v>170</v>
      </c>
      <c r="D7" s="28">
        <v>11</v>
      </c>
      <c r="E7" s="28">
        <v>13</v>
      </c>
      <c r="H7" s="2" t="s">
        <v>1129</v>
      </c>
      <c r="I7" s="6" t="s">
        <v>1190</v>
      </c>
      <c r="J7" s="6" t="s">
        <v>123</v>
      </c>
      <c r="L7" s="3">
        <v>1</v>
      </c>
      <c r="M7" s="3" t="s">
        <v>91</v>
      </c>
      <c r="N7" s="3" t="s">
        <v>1196</v>
      </c>
    </row>
    <row r="8" spans="1:14" x14ac:dyDescent="0.3">
      <c r="A8" s="28">
        <v>7</v>
      </c>
      <c r="B8" s="28">
        <v>1</v>
      </c>
      <c r="C8" s="28" t="s">
        <v>171</v>
      </c>
      <c r="D8" s="28">
        <v>6</v>
      </c>
      <c r="E8" s="28">
        <v>8</v>
      </c>
      <c r="H8" s="2" t="s">
        <v>1130</v>
      </c>
      <c r="I8" s="6" t="s">
        <v>1191</v>
      </c>
      <c r="J8" s="6" t="s">
        <v>123</v>
      </c>
      <c r="L8" s="3">
        <v>2</v>
      </c>
      <c r="M8" s="3" t="s">
        <v>1195</v>
      </c>
      <c r="N8" s="3" t="s">
        <v>1197</v>
      </c>
    </row>
    <row r="9" spans="1:14" x14ac:dyDescent="0.3">
      <c r="A9" s="28">
        <v>8</v>
      </c>
      <c r="B9" s="28">
        <v>1</v>
      </c>
      <c r="C9" s="28" t="s">
        <v>172</v>
      </c>
      <c r="D9" s="28">
        <v>11</v>
      </c>
      <c r="E9" s="28">
        <v>13</v>
      </c>
      <c r="L9" s="3">
        <v>3</v>
      </c>
      <c r="M9" s="3" t="s">
        <v>1209</v>
      </c>
      <c r="N9" s="3" t="s">
        <v>1210</v>
      </c>
    </row>
    <row r="10" spans="1:14" x14ac:dyDescent="0.3">
      <c r="A10" s="28">
        <v>9</v>
      </c>
      <c r="B10" s="28">
        <v>1</v>
      </c>
      <c r="C10" s="28" t="s">
        <v>1135</v>
      </c>
      <c r="D10" s="28">
        <v>8</v>
      </c>
      <c r="E10" s="28">
        <v>12</v>
      </c>
    </row>
    <row r="11" spans="1:14" x14ac:dyDescent="0.3">
      <c r="A11" s="28">
        <v>10</v>
      </c>
      <c r="B11" s="28">
        <v>1</v>
      </c>
      <c r="C11" s="28" t="s">
        <v>1183</v>
      </c>
      <c r="D11" s="28">
        <v>13</v>
      </c>
      <c r="E11" s="28">
        <v>17</v>
      </c>
    </row>
    <row r="12" spans="1:14" x14ac:dyDescent="0.3">
      <c r="A12" s="28">
        <v>11</v>
      </c>
      <c r="B12" s="28">
        <v>1</v>
      </c>
      <c r="C12" s="28" t="s">
        <v>175</v>
      </c>
      <c r="D12" s="28">
        <v>8</v>
      </c>
      <c r="E12" s="28">
        <v>12</v>
      </c>
    </row>
    <row r="13" spans="1:14" x14ac:dyDescent="0.3">
      <c r="A13" s="28">
        <v>12</v>
      </c>
      <c r="B13" s="28">
        <v>1</v>
      </c>
      <c r="C13" s="28" t="s">
        <v>176</v>
      </c>
      <c r="D13" s="28">
        <v>13</v>
      </c>
      <c r="E13" s="28">
        <v>17</v>
      </c>
    </row>
    <row r="14" spans="1:14" x14ac:dyDescent="0.3">
      <c r="A14" s="28">
        <v>13</v>
      </c>
      <c r="B14" s="28">
        <v>1</v>
      </c>
      <c r="C14" s="28" t="s">
        <v>177</v>
      </c>
      <c r="D14" s="28">
        <v>8</v>
      </c>
      <c r="E14" s="28">
        <v>12</v>
      </c>
    </row>
    <row r="15" spans="1:14" x14ac:dyDescent="0.3">
      <c r="A15" s="28">
        <v>14</v>
      </c>
      <c r="B15" s="28">
        <v>1</v>
      </c>
      <c r="C15" s="28" t="s">
        <v>178</v>
      </c>
      <c r="D15" s="28">
        <v>13</v>
      </c>
      <c r="E15" s="28">
        <v>17</v>
      </c>
    </row>
    <row r="16" spans="1:14" x14ac:dyDescent="0.3">
      <c r="A16" s="28">
        <v>15</v>
      </c>
      <c r="B16" s="28">
        <v>1</v>
      </c>
      <c r="C16" s="28" t="s">
        <v>179</v>
      </c>
      <c r="D16" s="28">
        <v>8</v>
      </c>
      <c r="E16" s="28">
        <v>12</v>
      </c>
    </row>
    <row r="17" spans="1:5" x14ac:dyDescent="0.3">
      <c r="A17" s="28">
        <v>16</v>
      </c>
      <c r="B17" s="28">
        <v>1</v>
      </c>
      <c r="C17" s="28" t="s">
        <v>180</v>
      </c>
      <c r="D17" s="28">
        <v>13</v>
      </c>
      <c r="E17" s="28">
        <v>17</v>
      </c>
    </row>
    <row r="18" spans="1:5" x14ac:dyDescent="0.3">
      <c r="A18" s="28">
        <v>17</v>
      </c>
      <c r="B18" s="28">
        <v>1</v>
      </c>
      <c r="C18" s="28" t="s">
        <v>181</v>
      </c>
      <c r="D18" s="28">
        <v>8</v>
      </c>
      <c r="E18" s="28">
        <v>12</v>
      </c>
    </row>
    <row r="19" spans="1:5" x14ac:dyDescent="0.3">
      <c r="A19" s="28">
        <v>18</v>
      </c>
      <c r="B19" s="28">
        <v>1</v>
      </c>
      <c r="C19" s="28" t="s">
        <v>182</v>
      </c>
      <c r="D19" s="28">
        <v>13</v>
      </c>
      <c r="E19" s="28">
        <v>17</v>
      </c>
    </row>
    <row r="20" spans="1:5" x14ac:dyDescent="0.3">
      <c r="A20" s="28">
        <v>19</v>
      </c>
      <c r="B20" s="28">
        <v>1</v>
      </c>
      <c r="C20" s="28" t="s">
        <v>183</v>
      </c>
      <c r="D20" s="28">
        <v>8</v>
      </c>
      <c r="E20" s="28">
        <v>12</v>
      </c>
    </row>
    <row r="21" spans="1:5" x14ac:dyDescent="0.3">
      <c r="A21" s="28">
        <v>20</v>
      </c>
      <c r="B21" s="28">
        <v>1</v>
      </c>
      <c r="C21" s="28" t="s">
        <v>184</v>
      </c>
      <c r="D21" s="28">
        <v>13</v>
      </c>
      <c r="E21" s="28">
        <v>17</v>
      </c>
    </row>
    <row r="22" spans="1:5" x14ac:dyDescent="0.3">
      <c r="A22" s="28">
        <v>21</v>
      </c>
      <c r="B22" s="28">
        <v>1</v>
      </c>
      <c r="C22" s="28" t="s">
        <v>1136</v>
      </c>
      <c r="D22" s="28">
        <v>8</v>
      </c>
      <c r="E22" s="28">
        <v>12</v>
      </c>
    </row>
    <row r="23" spans="1:5" x14ac:dyDescent="0.3">
      <c r="A23" s="28">
        <v>22</v>
      </c>
      <c r="B23" s="28">
        <v>1</v>
      </c>
      <c r="C23" s="28" t="s">
        <v>1184</v>
      </c>
      <c r="D23" s="28">
        <v>13</v>
      </c>
      <c r="E23" s="28">
        <v>17</v>
      </c>
    </row>
    <row r="24" spans="1:5" x14ac:dyDescent="0.3">
      <c r="A24" s="28">
        <v>23</v>
      </c>
      <c r="B24" s="28">
        <v>1</v>
      </c>
      <c r="C24" s="28" t="s">
        <v>697</v>
      </c>
      <c r="D24" s="28">
        <v>15</v>
      </c>
      <c r="E24" s="28">
        <v>20</v>
      </c>
    </row>
    <row r="25" spans="1:5" x14ac:dyDescent="0.3">
      <c r="A25" s="28">
        <v>24</v>
      </c>
      <c r="B25" s="28">
        <v>1</v>
      </c>
      <c r="C25" s="28" t="s">
        <v>700</v>
      </c>
      <c r="D25" s="28">
        <v>20</v>
      </c>
      <c r="E25" s="28">
        <v>25</v>
      </c>
    </row>
    <row r="26" spans="1:5" x14ac:dyDescent="0.3">
      <c r="A26" s="28">
        <v>25</v>
      </c>
      <c r="B26" s="28">
        <v>1</v>
      </c>
      <c r="C26" s="28" t="s">
        <v>1137</v>
      </c>
      <c r="D26" s="28">
        <v>15</v>
      </c>
      <c r="E26" s="28">
        <v>20</v>
      </c>
    </row>
    <row r="27" spans="1:5" x14ac:dyDescent="0.3">
      <c r="A27" s="28">
        <v>26</v>
      </c>
      <c r="B27" s="28">
        <v>1</v>
      </c>
      <c r="C27" s="28" t="s">
        <v>1185</v>
      </c>
      <c r="D27" s="28">
        <v>20</v>
      </c>
      <c r="E27" s="28">
        <v>25</v>
      </c>
    </row>
    <row r="28" spans="1:5" x14ac:dyDescent="0.3">
      <c r="A28" s="28">
        <v>27</v>
      </c>
      <c r="B28" s="28">
        <v>1</v>
      </c>
      <c r="C28" s="28" t="s">
        <v>1138</v>
      </c>
      <c r="D28" s="28">
        <v>15</v>
      </c>
      <c r="E28" s="28">
        <v>20</v>
      </c>
    </row>
    <row r="29" spans="1:5" x14ac:dyDescent="0.3">
      <c r="A29" s="28">
        <v>28</v>
      </c>
      <c r="B29" s="28">
        <v>1</v>
      </c>
      <c r="C29" s="28" t="s">
        <v>1186</v>
      </c>
      <c r="D29" s="28">
        <v>20</v>
      </c>
      <c r="E29" s="28">
        <v>25</v>
      </c>
    </row>
    <row r="30" spans="1:5" x14ac:dyDescent="0.3">
      <c r="A30" s="28">
        <v>29</v>
      </c>
      <c r="B30" s="28">
        <v>2</v>
      </c>
      <c r="C30" s="28" t="s">
        <v>1187</v>
      </c>
      <c r="D30" s="28">
        <v>14</v>
      </c>
      <c r="E30" s="28">
        <v>20</v>
      </c>
    </row>
    <row r="31" spans="1:5" x14ac:dyDescent="0.3">
      <c r="A31" s="28">
        <v>30</v>
      </c>
      <c r="B31" s="28">
        <v>2</v>
      </c>
      <c r="C31" s="28" t="s">
        <v>614</v>
      </c>
      <c r="D31" s="28">
        <v>14</v>
      </c>
      <c r="E31" s="28">
        <v>20</v>
      </c>
    </row>
    <row r="32" spans="1:5" x14ac:dyDescent="0.3">
      <c r="A32" s="28">
        <v>31</v>
      </c>
      <c r="B32" s="28">
        <v>2</v>
      </c>
      <c r="C32" s="28" t="s">
        <v>615</v>
      </c>
      <c r="D32" s="28">
        <v>14</v>
      </c>
      <c r="E32" s="28">
        <v>20</v>
      </c>
    </row>
    <row r="33" spans="1:5" x14ac:dyDescent="0.3">
      <c r="A33" s="28">
        <v>32</v>
      </c>
      <c r="B33" s="28">
        <v>2</v>
      </c>
      <c r="C33" s="28" t="s">
        <v>616</v>
      </c>
      <c r="D33" s="28">
        <v>14</v>
      </c>
      <c r="E33" s="28">
        <v>20</v>
      </c>
    </row>
    <row r="34" spans="1:5" x14ac:dyDescent="0.3">
      <c r="A34" s="28">
        <v>33</v>
      </c>
      <c r="B34" s="28">
        <v>2</v>
      </c>
      <c r="C34" s="28" t="s">
        <v>617</v>
      </c>
      <c r="D34" s="28">
        <v>14</v>
      </c>
      <c r="E34" s="28">
        <v>20</v>
      </c>
    </row>
    <row r="35" spans="1:5" x14ac:dyDescent="0.3">
      <c r="A35" s="28">
        <v>34</v>
      </c>
      <c r="B35" s="28">
        <v>2</v>
      </c>
      <c r="C35" s="28" t="s">
        <v>618</v>
      </c>
      <c r="D35" s="28">
        <v>14</v>
      </c>
      <c r="E35" s="28">
        <v>20</v>
      </c>
    </row>
    <row r="36" spans="1:5" x14ac:dyDescent="0.3">
      <c r="A36" s="28">
        <v>35</v>
      </c>
      <c r="B36" s="28">
        <v>2</v>
      </c>
      <c r="C36" s="28" t="s">
        <v>619</v>
      </c>
      <c r="D36" s="28">
        <v>14</v>
      </c>
      <c r="E36" s="28">
        <v>20</v>
      </c>
    </row>
    <row r="37" spans="1:5" x14ac:dyDescent="0.3">
      <c r="A37" s="28">
        <v>36</v>
      </c>
      <c r="B37" s="28">
        <v>2</v>
      </c>
      <c r="C37" s="28" t="s">
        <v>620</v>
      </c>
      <c r="D37" s="28">
        <v>14</v>
      </c>
      <c r="E37" s="28">
        <v>20</v>
      </c>
    </row>
    <row r="38" spans="1:5" x14ac:dyDescent="0.3">
      <c r="A38" s="28">
        <v>37</v>
      </c>
      <c r="B38" s="28">
        <v>2</v>
      </c>
      <c r="C38" s="28" t="s">
        <v>621</v>
      </c>
      <c r="D38" s="28">
        <v>14</v>
      </c>
      <c r="E38" s="28">
        <v>20</v>
      </c>
    </row>
    <row r="39" spans="1:5" x14ac:dyDescent="0.3">
      <c r="A39" s="28">
        <v>38</v>
      </c>
      <c r="B39" s="28">
        <v>2</v>
      </c>
      <c r="C39" s="28" t="s">
        <v>622</v>
      </c>
      <c r="D39" s="28">
        <v>14</v>
      </c>
      <c r="E39" s="28">
        <v>20</v>
      </c>
    </row>
    <row r="40" spans="1:5" x14ac:dyDescent="0.3">
      <c r="A40" s="28">
        <v>39</v>
      </c>
      <c r="B40" s="28">
        <v>2</v>
      </c>
      <c r="C40" s="28" t="s">
        <v>623</v>
      </c>
      <c r="D40" s="28">
        <v>14</v>
      </c>
      <c r="E40" s="28">
        <v>20</v>
      </c>
    </row>
    <row r="41" spans="1:5" x14ac:dyDescent="0.3">
      <c r="A41" s="28">
        <v>40</v>
      </c>
      <c r="B41" s="28">
        <v>2</v>
      </c>
      <c r="C41" s="28" t="s">
        <v>624</v>
      </c>
      <c r="D41" s="28">
        <v>14</v>
      </c>
      <c r="E41" s="28">
        <v>20</v>
      </c>
    </row>
    <row r="42" spans="1:5" x14ac:dyDescent="0.3">
      <c r="A42" s="28">
        <v>41</v>
      </c>
      <c r="B42" s="28">
        <v>2</v>
      </c>
      <c r="C42" s="28" t="s">
        <v>625</v>
      </c>
      <c r="D42" s="28">
        <v>14</v>
      </c>
      <c r="E42" s="28">
        <v>20</v>
      </c>
    </row>
    <row r="43" spans="1:5" x14ac:dyDescent="0.3">
      <c r="A43" s="28">
        <v>42</v>
      </c>
      <c r="B43" s="28">
        <v>2</v>
      </c>
      <c r="C43" s="28" t="s">
        <v>626</v>
      </c>
      <c r="D43" s="28">
        <v>14</v>
      </c>
      <c r="E43" s="28">
        <v>20</v>
      </c>
    </row>
    <row r="44" spans="1:5" x14ac:dyDescent="0.3">
      <c r="A44" s="28">
        <v>43</v>
      </c>
      <c r="B44" s="28">
        <v>2</v>
      </c>
      <c r="C44" s="28" t="s">
        <v>627</v>
      </c>
      <c r="D44" s="28">
        <v>14</v>
      </c>
      <c r="E44" s="28">
        <v>20</v>
      </c>
    </row>
    <row r="45" spans="1:5" x14ac:dyDescent="0.3">
      <c r="A45" s="28">
        <v>44</v>
      </c>
      <c r="B45" s="28">
        <v>2</v>
      </c>
      <c r="C45" s="28" t="s">
        <v>628</v>
      </c>
      <c r="D45" s="28">
        <v>14</v>
      </c>
      <c r="E45" s="28">
        <v>20</v>
      </c>
    </row>
    <row r="46" spans="1:5" x14ac:dyDescent="0.3">
      <c r="A46" s="28">
        <v>45</v>
      </c>
      <c r="B46" s="28">
        <v>2</v>
      </c>
      <c r="C46" s="28" t="s">
        <v>629</v>
      </c>
      <c r="D46" s="28">
        <v>14</v>
      </c>
      <c r="E46" s="28">
        <v>20</v>
      </c>
    </row>
    <row r="47" spans="1:5" x14ac:dyDescent="0.3">
      <c r="A47" s="28">
        <v>46</v>
      </c>
      <c r="B47" s="28">
        <v>2</v>
      </c>
      <c r="C47" s="28" t="s">
        <v>630</v>
      </c>
      <c r="D47" s="28">
        <v>14</v>
      </c>
      <c r="E47" s="28">
        <v>20</v>
      </c>
    </row>
    <row r="48" spans="1:5" x14ac:dyDescent="0.3">
      <c r="A48" s="28">
        <v>47</v>
      </c>
      <c r="B48" s="28">
        <v>2</v>
      </c>
      <c r="C48" s="28" t="s">
        <v>631</v>
      </c>
      <c r="D48" s="28">
        <v>14</v>
      </c>
      <c r="E48" s="28">
        <v>20</v>
      </c>
    </row>
    <row r="49" spans="1:5" x14ac:dyDescent="0.3">
      <c r="A49" s="28">
        <v>48</v>
      </c>
      <c r="B49" s="28">
        <v>2</v>
      </c>
      <c r="C49" s="28" t="s">
        <v>632</v>
      </c>
      <c r="D49" s="28">
        <v>14</v>
      </c>
      <c r="E49" s="28">
        <v>20</v>
      </c>
    </row>
    <row r="50" spans="1:5" x14ac:dyDescent="0.3">
      <c r="A50" s="28">
        <v>49</v>
      </c>
      <c r="B50" s="28">
        <v>2</v>
      </c>
      <c r="C50" s="28" t="s">
        <v>633</v>
      </c>
      <c r="D50" s="28">
        <v>14</v>
      </c>
      <c r="E50" s="28">
        <v>20</v>
      </c>
    </row>
    <row r="51" spans="1:5" x14ac:dyDescent="0.3">
      <c r="A51" s="28">
        <v>50</v>
      </c>
      <c r="B51" s="28">
        <v>2</v>
      </c>
      <c r="C51" s="28" t="s">
        <v>634</v>
      </c>
      <c r="D51" s="28">
        <v>14</v>
      </c>
      <c r="E51" s="28">
        <v>20</v>
      </c>
    </row>
    <row r="52" spans="1:5" x14ac:dyDescent="0.3">
      <c r="A52" s="28">
        <v>51</v>
      </c>
      <c r="B52" s="28">
        <v>2</v>
      </c>
      <c r="C52" s="28" t="s">
        <v>1188</v>
      </c>
      <c r="D52" s="28">
        <v>14</v>
      </c>
      <c r="E52" s="28">
        <v>20</v>
      </c>
    </row>
    <row r="53" spans="1:5" x14ac:dyDescent="0.3">
      <c r="A53" s="28">
        <v>52</v>
      </c>
      <c r="B53" s="28">
        <v>3</v>
      </c>
      <c r="C53" s="3" t="s">
        <v>1202</v>
      </c>
      <c r="D53" s="28">
        <v>10</v>
      </c>
      <c r="E53" s="28">
        <v>20</v>
      </c>
    </row>
    <row r="54" spans="1:5" x14ac:dyDescent="0.3">
      <c r="A54" s="28">
        <v>53</v>
      </c>
      <c r="B54" s="28">
        <v>3</v>
      </c>
      <c r="C54" s="3" t="s">
        <v>1211</v>
      </c>
      <c r="D54" s="28">
        <v>15</v>
      </c>
      <c r="E54" s="28">
        <v>25</v>
      </c>
    </row>
  </sheetData>
  <mergeCells count="2">
    <mergeCell ref="H2:J2"/>
    <mergeCell ref="L5:N5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92AC-1B57-4810-ACAF-77255B576774}">
  <sheetPr codeName="Sheet11"/>
  <dimension ref="A1:M14"/>
  <sheetViews>
    <sheetView workbookViewId="0"/>
  </sheetViews>
  <sheetFormatPr defaultRowHeight="12" x14ac:dyDescent="0.3"/>
  <cols>
    <col min="1" max="4" width="9" style="3"/>
    <col min="5" max="5" width="2.875" style="17" customWidth="1"/>
    <col min="6" max="7" width="9" style="1"/>
    <col min="8" max="8" width="34.375" style="1" bestFit="1" customWidth="1"/>
    <col min="9" max="9" width="9" style="1"/>
    <col min="10" max="10" width="2.375" style="1" customWidth="1"/>
    <col min="11" max="11" width="5.125" style="1" bestFit="1" customWidth="1"/>
    <col min="12" max="12" width="15" style="1" bestFit="1" customWidth="1"/>
    <col min="13" max="13" width="21.625" style="1" bestFit="1" customWidth="1"/>
    <col min="14" max="16384" width="9" style="1"/>
  </cols>
  <sheetData>
    <row r="1" spans="1:13" x14ac:dyDescent="0.3">
      <c r="A1" s="3" t="s">
        <v>1176</v>
      </c>
      <c r="B1" s="3" t="s">
        <v>1199</v>
      </c>
      <c r="C1" s="3" t="s">
        <v>1232</v>
      </c>
      <c r="D1" s="3" t="s">
        <v>1200</v>
      </c>
    </row>
    <row r="2" spans="1:13" x14ac:dyDescent="0.3">
      <c r="A2" s="3">
        <v>1</v>
      </c>
      <c r="B2" s="3">
        <v>1</v>
      </c>
      <c r="C2" s="3">
        <v>1</v>
      </c>
      <c r="D2" s="3">
        <v>1011</v>
      </c>
      <c r="G2" s="32" t="s">
        <v>1245</v>
      </c>
      <c r="H2" s="34"/>
      <c r="I2" s="35"/>
    </row>
    <row r="3" spans="1:13" x14ac:dyDescent="0.3">
      <c r="A3" s="3">
        <v>2</v>
      </c>
      <c r="B3" s="3">
        <v>1</v>
      </c>
      <c r="C3" s="3">
        <v>2</v>
      </c>
      <c r="D3" s="3">
        <v>1011</v>
      </c>
      <c r="G3" s="2" t="s">
        <v>86</v>
      </c>
      <c r="H3" s="2" t="s">
        <v>87</v>
      </c>
      <c r="I3" s="2" t="s">
        <v>88</v>
      </c>
    </row>
    <row r="4" spans="1:13" x14ac:dyDescent="0.3">
      <c r="A4" s="3">
        <v>3</v>
      </c>
      <c r="B4" s="3">
        <v>1</v>
      </c>
      <c r="C4" s="3">
        <v>3</v>
      </c>
      <c r="D4" s="3">
        <v>1011</v>
      </c>
      <c r="G4" s="2" t="s">
        <v>1140</v>
      </c>
      <c r="H4" s="6" t="s">
        <v>89</v>
      </c>
      <c r="I4" s="6" t="s">
        <v>89</v>
      </c>
    </row>
    <row r="5" spans="1:13" x14ac:dyDescent="0.3">
      <c r="A5" s="3">
        <v>4</v>
      </c>
      <c r="B5" s="3">
        <v>1</v>
      </c>
      <c r="C5" s="3">
        <v>4</v>
      </c>
      <c r="D5" s="3">
        <v>1012</v>
      </c>
      <c r="G5" s="2" t="s">
        <v>1198</v>
      </c>
      <c r="H5" s="6" t="s">
        <v>1231</v>
      </c>
      <c r="I5" s="6" t="s">
        <v>89</v>
      </c>
    </row>
    <row r="6" spans="1:13" x14ac:dyDescent="0.3">
      <c r="A6" s="3">
        <v>5</v>
      </c>
      <c r="B6" s="3">
        <v>1</v>
      </c>
      <c r="C6" s="3">
        <v>5</v>
      </c>
      <c r="D6" s="3">
        <v>1012</v>
      </c>
      <c r="G6" s="2" t="s">
        <v>1232</v>
      </c>
      <c r="H6" s="6" t="s">
        <v>1229</v>
      </c>
      <c r="I6" s="6" t="s">
        <v>101</v>
      </c>
      <c r="K6" s="42" t="s">
        <v>1244</v>
      </c>
      <c r="L6" s="42"/>
      <c r="M6" s="42"/>
    </row>
    <row r="7" spans="1:13" x14ac:dyDescent="0.3">
      <c r="A7" s="3">
        <v>6</v>
      </c>
      <c r="B7" s="3">
        <v>1</v>
      </c>
      <c r="C7" s="3">
        <v>6</v>
      </c>
      <c r="D7" s="3">
        <v>1013</v>
      </c>
      <c r="G7" s="2" t="s">
        <v>1144</v>
      </c>
      <c r="H7" s="6" t="s">
        <v>1230</v>
      </c>
      <c r="I7" s="6" t="s">
        <v>89</v>
      </c>
      <c r="K7" s="3" t="s">
        <v>1156</v>
      </c>
      <c r="L7" s="3" t="s">
        <v>1234</v>
      </c>
      <c r="M7" s="3" t="s">
        <v>1233</v>
      </c>
    </row>
    <row r="8" spans="1:13" x14ac:dyDescent="0.3">
      <c r="A8" s="3">
        <v>7</v>
      </c>
      <c r="B8" s="3">
        <v>1</v>
      </c>
      <c r="C8" s="3">
        <v>7</v>
      </c>
      <c r="D8" s="3">
        <v>1013</v>
      </c>
      <c r="K8" s="3">
        <v>1</v>
      </c>
      <c r="L8" s="3" t="s">
        <v>1235</v>
      </c>
      <c r="M8" s="3" t="s">
        <v>1242</v>
      </c>
    </row>
    <row r="9" spans="1:13" x14ac:dyDescent="0.3">
      <c r="K9" s="3">
        <v>2</v>
      </c>
      <c r="L9" s="3" t="s">
        <v>1236</v>
      </c>
      <c r="M9" s="3" t="s">
        <v>1242</v>
      </c>
    </row>
    <row r="10" spans="1:13" x14ac:dyDescent="0.3">
      <c r="K10" s="3">
        <v>3</v>
      </c>
      <c r="L10" s="3" t="s">
        <v>1237</v>
      </c>
      <c r="M10" s="3" t="s">
        <v>1242</v>
      </c>
    </row>
    <row r="11" spans="1:13" x14ac:dyDescent="0.3">
      <c r="K11" s="3">
        <v>4</v>
      </c>
      <c r="L11" s="3" t="s">
        <v>1238</v>
      </c>
      <c r="M11" s="3" t="s">
        <v>1165</v>
      </c>
    </row>
    <row r="12" spans="1:13" x14ac:dyDescent="0.3">
      <c r="K12" s="3">
        <v>5</v>
      </c>
      <c r="L12" s="3" t="s">
        <v>1239</v>
      </c>
      <c r="M12" s="3" t="s">
        <v>1165</v>
      </c>
    </row>
    <row r="13" spans="1:13" x14ac:dyDescent="0.3">
      <c r="K13" s="3">
        <v>6</v>
      </c>
      <c r="L13" s="3" t="s">
        <v>1240</v>
      </c>
      <c r="M13" s="3" t="s">
        <v>1243</v>
      </c>
    </row>
    <row r="14" spans="1:13" x14ac:dyDescent="0.3">
      <c r="K14" s="3">
        <v>7</v>
      </c>
      <c r="L14" s="3" t="s">
        <v>1241</v>
      </c>
      <c r="M14" s="3" t="s">
        <v>1243</v>
      </c>
    </row>
  </sheetData>
  <mergeCells count="2">
    <mergeCell ref="G2:I2"/>
    <mergeCell ref="K6:M6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69DFA-A6A3-4E3C-AEE3-C8507C5543C1}">
  <sheetPr codeName="Sheet12"/>
  <dimension ref="A1:J8"/>
  <sheetViews>
    <sheetView workbookViewId="0">
      <selection activeCell="K54" sqref="K54"/>
    </sheetView>
  </sheetViews>
  <sheetFormatPr defaultRowHeight="12" x14ac:dyDescent="0.3"/>
  <cols>
    <col min="1" max="1" width="2.75" style="3" bestFit="1" customWidth="1"/>
    <col min="2" max="2" width="7.5" style="3" bestFit="1" customWidth="1"/>
    <col min="3" max="3" width="9.125" style="3" bestFit="1" customWidth="1"/>
    <col min="4" max="4" width="13.375" style="3" bestFit="1" customWidth="1"/>
    <col min="5" max="5" width="15" style="3" bestFit="1" customWidth="1"/>
    <col min="6" max="6" width="3.25" style="17" customWidth="1"/>
    <col min="7" max="7" width="9.125" style="1" customWidth="1"/>
    <col min="8" max="8" width="16.75" style="1" bestFit="1" customWidth="1"/>
    <col min="9" max="9" width="30" style="1" bestFit="1" customWidth="1"/>
    <col min="10" max="16384" width="9" style="1"/>
  </cols>
  <sheetData>
    <row r="1" spans="1:10" x14ac:dyDescent="0.3">
      <c r="A1" s="3" t="s">
        <v>1178</v>
      </c>
      <c r="B1" s="3" t="s">
        <v>1220</v>
      </c>
      <c r="C1" s="3" t="s">
        <v>1222</v>
      </c>
      <c r="D1" s="3" t="s">
        <v>1224</v>
      </c>
      <c r="E1" s="3" t="s">
        <v>1226</v>
      </c>
    </row>
    <row r="2" spans="1:10" x14ac:dyDescent="0.3">
      <c r="A2" s="3">
        <v>1</v>
      </c>
      <c r="B2" s="3">
        <v>1</v>
      </c>
      <c r="C2" s="3" t="s">
        <v>1227</v>
      </c>
      <c r="D2" s="3">
        <v>5</v>
      </c>
      <c r="E2" s="3">
        <v>1101</v>
      </c>
      <c r="H2" s="32" t="s">
        <v>1250</v>
      </c>
      <c r="I2" s="34"/>
      <c r="J2" s="35"/>
    </row>
    <row r="3" spans="1:10" x14ac:dyDescent="0.3">
      <c r="A3" s="3">
        <v>2</v>
      </c>
      <c r="B3" s="3">
        <v>2</v>
      </c>
      <c r="C3" s="3">
        <v>0</v>
      </c>
      <c r="D3" s="3">
        <v>5</v>
      </c>
      <c r="E3" s="3">
        <v>1101</v>
      </c>
      <c r="H3" s="2" t="s">
        <v>86</v>
      </c>
      <c r="I3" s="2" t="s">
        <v>87</v>
      </c>
      <c r="J3" s="2" t="s">
        <v>88</v>
      </c>
    </row>
    <row r="4" spans="1:10" x14ac:dyDescent="0.3">
      <c r="A4" s="3">
        <v>3</v>
      </c>
      <c r="B4" s="3">
        <v>3</v>
      </c>
      <c r="C4" s="3">
        <v>0</v>
      </c>
      <c r="D4" s="3">
        <v>5</v>
      </c>
      <c r="E4" s="3">
        <v>1101</v>
      </c>
      <c r="H4" s="2" t="s">
        <v>1177</v>
      </c>
      <c r="I4" s="6" t="s">
        <v>89</v>
      </c>
      <c r="J4" s="6" t="s">
        <v>89</v>
      </c>
    </row>
    <row r="5" spans="1:10" x14ac:dyDescent="0.3">
      <c r="H5" s="2" t="s">
        <v>1220</v>
      </c>
      <c r="I5" s="6" t="s">
        <v>1246</v>
      </c>
      <c r="J5" s="6" t="s">
        <v>89</v>
      </c>
    </row>
    <row r="6" spans="1:10" x14ac:dyDescent="0.3">
      <c r="H6" s="2" t="s">
        <v>1221</v>
      </c>
      <c r="I6" s="6" t="s">
        <v>1247</v>
      </c>
      <c r="J6" s="6" t="s">
        <v>101</v>
      </c>
    </row>
    <row r="7" spans="1:10" x14ac:dyDescent="0.3">
      <c r="H7" s="2" t="s">
        <v>1223</v>
      </c>
      <c r="I7" s="6" t="s">
        <v>1248</v>
      </c>
      <c r="J7" s="6" t="s">
        <v>123</v>
      </c>
    </row>
    <row r="8" spans="1:10" x14ac:dyDescent="0.3">
      <c r="H8" s="2" t="s">
        <v>1225</v>
      </c>
      <c r="I8" s="6" t="s">
        <v>1249</v>
      </c>
      <c r="J8" s="6" t="s">
        <v>89</v>
      </c>
    </row>
  </sheetData>
  <mergeCells count="1">
    <mergeCell ref="H2:J2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A641-DF62-410C-99DA-39ADF8546CA4}">
  <sheetPr codeName="Sheet13"/>
  <dimension ref="A1:S14"/>
  <sheetViews>
    <sheetView workbookViewId="0">
      <selection activeCell="M57" sqref="M57"/>
    </sheetView>
  </sheetViews>
  <sheetFormatPr defaultRowHeight="12" x14ac:dyDescent="0.3"/>
  <cols>
    <col min="1" max="1" width="3.125" style="3" bestFit="1" customWidth="1"/>
    <col min="2" max="2" width="10.375" style="3" bestFit="1" customWidth="1"/>
    <col min="3" max="3" width="5.25" style="3" bestFit="1" customWidth="1"/>
    <col min="4" max="4" width="8.875" style="3" bestFit="1" customWidth="1"/>
    <col min="5" max="5" width="12.125" style="3" bestFit="1" customWidth="1"/>
    <col min="6" max="6" width="20.375" style="3" bestFit="1" customWidth="1"/>
    <col min="7" max="7" width="20.375" style="3" customWidth="1"/>
    <col min="8" max="8" width="12.125" style="3" bestFit="1" customWidth="1"/>
    <col min="9" max="9" width="18.375" style="3" bestFit="1" customWidth="1"/>
    <col min="10" max="10" width="10.625" style="3" bestFit="1" customWidth="1"/>
    <col min="11" max="11" width="14.625" style="3" bestFit="1" customWidth="1"/>
    <col min="12" max="12" width="2.5" style="17" customWidth="1"/>
    <col min="13" max="13" width="9" style="1"/>
    <col min="14" max="14" width="16.75" style="1" bestFit="1" customWidth="1"/>
    <col min="15" max="15" width="30" style="1" bestFit="1" customWidth="1"/>
    <col min="16" max="16" width="9" style="1"/>
    <col min="17" max="17" width="1.625" style="1" customWidth="1"/>
    <col min="18" max="18" width="5.125" style="1" bestFit="1" customWidth="1"/>
    <col min="19" max="19" width="15" style="1" bestFit="1" customWidth="1"/>
    <col min="20" max="16384" width="9" style="1"/>
  </cols>
  <sheetData>
    <row r="1" spans="1:19" x14ac:dyDescent="0.3">
      <c r="A1" s="3" t="s">
        <v>1177</v>
      </c>
      <c r="B1" s="3" t="s">
        <v>1289</v>
      </c>
      <c r="C1" s="3" t="s">
        <v>1290</v>
      </c>
      <c r="D1" s="3" t="s">
        <v>1302</v>
      </c>
      <c r="E1" s="3" t="s">
        <v>1291</v>
      </c>
      <c r="F1" s="3" t="s">
        <v>1292</v>
      </c>
      <c r="G1" s="3" t="s">
        <v>1300</v>
      </c>
      <c r="H1" s="3" t="s">
        <v>1293</v>
      </c>
      <c r="I1" s="3" t="s">
        <v>1294</v>
      </c>
      <c r="J1" s="3" t="s">
        <v>1295</v>
      </c>
      <c r="K1" s="3" t="s">
        <v>1296</v>
      </c>
    </row>
    <row r="2" spans="1:19" x14ac:dyDescent="0.3">
      <c r="A2" s="3">
        <v>1</v>
      </c>
      <c r="B2" s="3">
        <v>1</v>
      </c>
      <c r="C2" s="3">
        <v>5</v>
      </c>
      <c r="D2" s="3">
        <v>3</v>
      </c>
      <c r="E2" s="3">
        <v>10000</v>
      </c>
      <c r="F2" s="3">
        <v>1000</v>
      </c>
      <c r="G2" s="3">
        <v>1000</v>
      </c>
      <c r="H2" s="3">
        <v>0</v>
      </c>
      <c r="I2" s="3">
        <v>0</v>
      </c>
      <c r="J2" s="3">
        <v>0</v>
      </c>
      <c r="K2" s="3">
        <v>101</v>
      </c>
      <c r="N2" s="32" t="s">
        <v>1321</v>
      </c>
      <c r="O2" s="34"/>
      <c r="P2" s="35"/>
    </row>
    <row r="3" spans="1:19" x14ac:dyDescent="0.3">
      <c r="A3" s="3">
        <v>2</v>
      </c>
      <c r="B3" s="3">
        <v>2</v>
      </c>
      <c r="C3" s="3">
        <v>15</v>
      </c>
      <c r="D3" s="3">
        <v>3</v>
      </c>
      <c r="E3" s="3">
        <v>10000</v>
      </c>
      <c r="F3" s="3">
        <v>1000</v>
      </c>
      <c r="G3" s="3">
        <v>1000</v>
      </c>
      <c r="H3" s="3">
        <v>0</v>
      </c>
      <c r="I3" s="3">
        <v>0</v>
      </c>
      <c r="J3" s="3">
        <v>0</v>
      </c>
      <c r="K3" s="3">
        <v>102</v>
      </c>
      <c r="N3" s="2" t="s">
        <v>86</v>
      </c>
      <c r="O3" s="2" t="s">
        <v>87</v>
      </c>
      <c r="P3" s="2" t="s">
        <v>88</v>
      </c>
    </row>
    <row r="4" spans="1:19" x14ac:dyDescent="0.3">
      <c r="A4" s="3">
        <v>3</v>
      </c>
      <c r="B4" s="3">
        <v>3</v>
      </c>
      <c r="C4" s="3">
        <v>30</v>
      </c>
      <c r="D4" s="3">
        <v>3</v>
      </c>
      <c r="E4" s="3">
        <v>10000</v>
      </c>
      <c r="F4" s="3">
        <v>1000</v>
      </c>
      <c r="G4" s="3">
        <v>1000</v>
      </c>
      <c r="H4" s="3">
        <v>0</v>
      </c>
      <c r="I4" s="3">
        <v>0</v>
      </c>
      <c r="J4" s="3">
        <v>0</v>
      </c>
      <c r="K4" s="3">
        <v>103</v>
      </c>
      <c r="N4" s="2" t="s">
        <v>1177</v>
      </c>
      <c r="O4" s="6" t="s">
        <v>89</v>
      </c>
      <c r="P4" s="6" t="s">
        <v>89</v>
      </c>
    </row>
    <row r="5" spans="1:19" x14ac:dyDescent="0.3">
      <c r="N5" s="2" t="s">
        <v>1289</v>
      </c>
      <c r="O5" s="6" t="s">
        <v>1297</v>
      </c>
      <c r="P5" s="6" t="s">
        <v>101</v>
      </c>
      <c r="R5" s="32" t="s">
        <v>1297</v>
      </c>
      <c r="S5" s="35"/>
    </row>
    <row r="6" spans="1:19" x14ac:dyDescent="0.3">
      <c r="N6" s="2" t="s">
        <v>1290</v>
      </c>
      <c r="O6" s="6" t="s">
        <v>1298</v>
      </c>
      <c r="P6" s="6" t="s">
        <v>123</v>
      </c>
      <c r="R6" s="3" t="s">
        <v>1156</v>
      </c>
      <c r="S6" s="3" t="s">
        <v>1311</v>
      </c>
    </row>
    <row r="7" spans="1:19" x14ac:dyDescent="0.3">
      <c r="N7" s="2" t="s">
        <v>1301</v>
      </c>
      <c r="O7" s="6" t="s">
        <v>1303</v>
      </c>
      <c r="P7" s="6" t="s">
        <v>123</v>
      </c>
      <c r="R7" s="3">
        <v>1</v>
      </c>
      <c r="S7" s="3" t="s">
        <v>1312</v>
      </c>
    </row>
    <row r="8" spans="1:19" x14ac:dyDescent="0.3">
      <c r="N8" s="2" t="s">
        <v>1291</v>
      </c>
      <c r="O8" s="6" t="s">
        <v>1299</v>
      </c>
      <c r="P8" s="6" t="s">
        <v>1310</v>
      </c>
      <c r="R8" s="3">
        <v>2</v>
      </c>
      <c r="S8" s="3" t="s">
        <v>1313</v>
      </c>
    </row>
    <row r="9" spans="1:19" x14ac:dyDescent="0.3">
      <c r="N9" s="2" t="s">
        <v>1292</v>
      </c>
      <c r="O9" s="6" t="s">
        <v>1306</v>
      </c>
      <c r="P9" s="6" t="s">
        <v>1310</v>
      </c>
      <c r="R9" s="3">
        <v>3</v>
      </c>
      <c r="S9" s="3" t="s">
        <v>1314</v>
      </c>
    </row>
    <row r="10" spans="1:19" x14ac:dyDescent="0.3">
      <c r="N10" s="2" t="s">
        <v>1300</v>
      </c>
      <c r="O10" s="6" t="s">
        <v>1307</v>
      </c>
      <c r="P10" s="6" t="s">
        <v>1310</v>
      </c>
    </row>
    <row r="11" spans="1:19" x14ac:dyDescent="0.3">
      <c r="N11" s="2" t="s">
        <v>1293</v>
      </c>
      <c r="O11" s="6" t="s">
        <v>1304</v>
      </c>
      <c r="P11" s="6" t="s">
        <v>1310</v>
      </c>
    </row>
    <row r="12" spans="1:19" x14ac:dyDescent="0.3">
      <c r="N12" s="2" t="s">
        <v>1294</v>
      </c>
      <c r="O12" s="6" t="s">
        <v>1305</v>
      </c>
      <c r="P12" s="6" t="s">
        <v>1310</v>
      </c>
    </row>
    <row r="13" spans="1:19" x14ac:dyDescent="0.3">
      <c r="N13" s="2" t="s">
        <v>1295</v>
      </c>
      <c r="O13" s="6" t="s">
        <v>1308</v>
      </c>
      <c r="P13" s="6" t="s">
        <v>89</v>
      </c>
    </row>
    <row r="14" spans="1:19" x14ac:dyDescent="0.3">
      <c r="N14" s="2" t="s">
        <v>1296</v>
      </c>
      <c r="O14" s="6" t="s">
        <v>1309</v>
      </c>
      <c r="P14" s="6" t="s">
        <v>89</v>
      </c>
    </row>
  </sheetData>
  <mergeCells count="2">
    <mergeCell ref="N2:P2"/>
    <mergeCell ref="R5:S5"/>
  </mergeCells>
  <phoneticPr fontId="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17AFF-3730-49C9-B420-1711CB74AE8A}">
  <sheetPr codeName="Sheet14"/>
  <dimension ref="A1:I7"/>
  <sheetViews>
    <sheetView workbookViewId="0"/>
  </sheetViews>
  <sheetFormatPr defaultRowHeight="12" x14ac:dyDescent="0.3"/>
  <cols>
    <col min="1" max="1" width="2.75" style="28" bestFit="1" customWidth="1"/>
    <col min="2" max="2" width="9.75" style="28" bestFit="1" customWidth="1"/>
    <col min="3" max="3" width="5.875" style="28" bestFit="1" customWidth="1"/>
    <col min="4" max="4" width="4.375" style="28" bestFit="1" customWidth="1"/>
    <col min="5" max="5" width="2.25" style="30" customWidth="1"/>
    <col min="6" max="6" width="9" style="1"/>
    <col min="7" max="7" width="16.75" style="1" bestFit="1" customWidth="1"/>
    <col min="8" max="8" width="32.875" style="1" bestFit="1" customWidth="1"/>
    <col min="9" max="9" width="6" style="1" bestFit="1" customWidth="1"/>
    <col min="10" max="16384" width="9" style="1"/>
  </cols>
  <sheetData>
    <row r="1" spans="1:9" x14ac:dyDescent="0.3">
      <c r="A1" s="28" t="s">
        <v>1176</v>
      </c>
      <c r="B1" s="28" t="s">
        <v>70</v>
      </c>
      <c r="C1" s="28" t="s">
        <v>1316</v>
      </c>
      <c r="D1" s="28" t="s">
        <v>1028</v>
      </c>
    </row>
    <row r="2" spans="1:9" x14ac:dyDescent="0.3">
      <c r="A2" s="28">
        <v>1</v>
      </c>
      <c r="B2" s="28" t="s">
        <v>140</v>
      </c>
      <c r="C2" s="28">
        <v>1</v>
      </c>
      <c r="D2" s="28">
        <v>1</v>
      </c>
      <c r="G2" s="32" t="s">
        <v>1322</v>
      </c>
      <c r="H2" s="34"/>
      <c r="I2" s="35"/>
    </row>
    <row r="3" spans="1:9" x14ac:dyDescent="0.3">
      <c r="G3" s="2" t="s">
        <v>86</v>
      </c>
      <c r="H3" s="2" t="s">
        <v>87</v>
      </c>
      <c r="I3" s="2" t="s">
        <v>88</v>
      </c>
    </row>
    <row r="4" spans="1:9" x14ac:dyDescent="0.3">
      <c r="G4" s="2" t="s">
        <v>1140</v>
      </c>
      <c r="H4" s="6" t="s">
        <v>89</v>
      </c>
      <c r="I4" s="6" t="s">
        <v>89</v>
      </c>
    </row>
    <row r="5" spans="1:9" x14ac:dyDescent="0.3">
      <c r="G5" s="2" t="s">
        <v>1167</v>
      </c>
      <c r="H5" s="6" t="s">
        <v>1318</v>
      </c>
      <c r="I5" s="6" t="s">
        <v>89</v>
      </c>
    </row>
    <row r="6" spans="1:9" x14ac:dyDescent="0.3">
      <c r="G6" s="2" t="s">
        <v>1315</v>
      </c>
      <c r="H6" s="6" t="s">
        <v>1319</v>
      </c>
      <c r="I6" s="6" t="s">
        <v>89</v>
      </c>
    </row>
    <row r="7" spans="1:9" x14ac:dyDescent="0.3">
      <c r="G7" s="2" t="s">
        <v>1317</v>
      </c>
      <c r="H7" s="6" t="s">
        <v>1320</v>
      </c>
      <c r="I7" s="6" t="s">
        <v>1310</v>
      </c>
    </row>
  </sheetData>
  <mergeCells count="1">
    <mergeCell ref="G2:I2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330C-0752-464A-8097-96938E4C9E5F}">
  <sheetPr codeName="Sheet15"/>
  <dimension ref="A1:K12"/>
  <sheetViews>
    <sheetView workbookViewId="0"/>
  </sheetViews>
  <sheetFormatPr defaultRowHeight="12" x14ac:dyDescent="0.3"/>
  <cols>
    <col min="1" max="3" width="9" style="31"/>
    <col min="4" max="4" width="3.25" style="30" customWidth="1"/>
    <col min="5" max="5" width="9" style="1"/>
    <col min="6" max="6" width="16.75" style="1" bestFit="1" customWidth="1"/>
    <col min="7" max="7" width="32.875" style="1" bestFit="1" customWidth="1"/>
    <col min="8" max="8" width="6" style="1" bestFit="1" customWidth="1"/>
    <col min="9" max="9" width="2.125" style="1" customWidth="1"/>
    <col min="10" max="10" width="5.125" style="1" bestFit="1" customWidth="1"/>
    <col min="11" max="11" width="20.375" style="1" bestFit="1" customWidth="1"/>
    <col min="12" max="16384" width="9" style="1"/>
  </cols>
  <sheetData>
    <row r="1" spans="1:11" x14ac:dyDescent="0.3">
      <c r="A1" s="31" t="s">
        <v>1178</v>
      </c>
      <c r="B1" s="31" t="s">
        <v>1316</v>
      </c>
      <c r="C1" s="31" t="s">
        <v>1343</v>
      </c>
    </row>
    <row r="2" spans="1:11" x14ac:dyDescent="0.3">
      <c r="A2" s="31">
        <v>1</v>
      </c>
      <c r="B2" s="31">
        <v>101</v>
      </c>
      <c r="C2" s="31">
        <v>0</v>
      </c>
      <c r="F2" s="32" t="s">
        <v>1335</v>
      </c>
      <c r="G2" s="34"/>
      <c r="H2" s="35"/>
    </row>
    <row r="3" spans="1:11" x14ac:dyDescent="0.3">
      <c r="A3" s="31">
        <v>2</v>
      </c>
      <c r="B3" s="31">
        <v>102</v>
      </c>
      <c r="C3" s="31">
        <v>0</v>
      </c>
      <c r="F3" s="2" t="s">
        <v>86</v>
      </c>
      <c r="G3" s="2" t="s">
        <v>87</v>
      </c>
      <c r="H3" s="2" t="s">
        <v>88</v>
      </c>
    </row>
    <row r="4" spans="1:11" x14ac:dyDescent="0.3">
      <c r="A4" s="31">
        <v>3</v>
      </c>
      <c r="B4" s="31">
        <v>103</v>
      </c>
      <c r="C4" s="31">
        <v>0</v>
      </c>
      <c r="F4" s="2" t="s">
        <v>1177</v>
      </c>
      <c r="G4" s="6" t="s">
        <v>89</v>
      </c>
      <c r="H4" s="6" t="s">
        <v>89</v>
      </c>
    </row>
    <row r="5" spans="1:11" x14ac:dyDescent="0.3">
      <c r="F5" s="2" t="s">
        <v>1315</v>
      </c>
      <c r="G5" s="6" t="s">
        <v>1326</v>
      </c>
      <c r="H5" s="6" t="s">
        <v>89</v>
      </c>
    </row>
    <row r="6" spans="1:11" x14ac:dyDescent="0.3">
      <c r="F6" s="2" t="s">
        <v>1342</v>
      </c>
      <c r="G6" s="6" t="s">
        <v>1327</v>
      </c>
      <c r="H6" s="6" t="s">
        <v>101</v>
      </c>
      <c r="J6" s="32" t="s">
        <v>1342</v>
      </c>
      <c r="K6" s="35"/>
    </row>
    <row r="7" spans="1:11" x14ac:dyDescent="0.3">
      <c r="J7" s="3" t="s">
        <v>1156</v>
      </c>
      <c r="K7" s="3" t="s">
        <v>1311</v>
      </c>
    </row>
    <row r="8" spans="1:11" x14ac:dyDescent="0.3">
      <c r="J8" s="3">
        <v>0</v>
      </c>
      <c r="K8" s="3" t="s">
        <v>1344</v>
      </c>
    </row>
    <row r="9" spans="1:11" x14ac:dyDescent="0.3">
      <c r="J9" s="3">
        <v>1</v>
      </c>
      <c r="K9" s="3" t="s">
        <v>1345</v>
      </c>
    </row>
    <row r="10" spans="1:11" x14ac:dyDescent="0.3">
      <c r="J10" s="3">
        <v>2</v>
      </c>
      <c r="K10" s="3" t="s">
        <v>1346</v>
      </c>
    </row>
    <row r="11" spans="1:11" x14ac:dyDescent="0.3">
      <c r="J11" s="3">
        <v>3</v>
      </c>
      <c r="K11" s="3" t="s">
        <v>1347</v>
      </c>
    </row>
    <row r="12" spans="1:11" x14ac:dyDescent="0.3">
      <c r="J12" s="3">
        <v>4</v>
      </c>
      <c r="K12" s="3" t="s">
        <v>1348</v>
      </c>
    </row>
  </sheetData>
  <mergeCells count="2">
    <mergeCell ref="F2:H2"/>
    <mergeCell ref="J6:K6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3DFB-2CA2-448E-A431-EF7E1959E07F}">
  <sheetPr codeName="Sheet16"/>
  <dimension ref="A1:Q12"/>
  <sheetViews>
    <sheetView workbookViewId="0">
      <selection activeCell="P38" sqref="P38"/>
    </sheetView>
  </sheetViews>
  <sheetFormatPr defaultRowHeight="12" x14ac:dyDescent="0.3"/>
  <cols>
    <col min="1" max="1" width="2.75" style="3" bestFit="1" customWidth="1"/>
    <col min="2" max="2" width="5.875" style="3" bestFit="1" customWidth="1"/>
    <col min="3" max="3" width="10.125" style="3" bestFit="1" customWidth="1"/>
    <col min="4" max="4" width="25.25" style="26" bestFit="1" customWidth="1"/>
    <col min="5" max="5" width="10.875" style="3" bestFit="1" customWidth="1"/>
    <col min="6" max="6" width="11.25" style="3" bestFit="1" customWidth="1"/>
    <col min="7" max="7" width="3.125" style="30" customWidth="1"/>
    <col min="8" max="8" width="3.375" style="1" customWidth="1"/>
    <col min="9" max="9" width="16.75" style="1" bestFit="1" customWidth="1"/>
    <col min="10" max="10" width="32.875" style="1" bestFit="1" customWidth="1"/>
    <col min="11" max="11" width="6" style="1" bestFit="1" customWidth="1"/>
    <col min="12" max="12" width="2.75" style="1" customWidth="1"/>
    <col min="13" max="13" width="11.375" style="1" bestFit="1" customWidth="1"/>
    <col min="14" max="14" width="9.5" style="1" customWidth="1"/>
    <col min="15" max="15" width="20.5" style="1" bestFit="1" customWidth="1"/>
    <col min="16" max="16" width="20.5" style="1" customWidth="1"/>
    <col min="17" max="17" width="35" style="1" bestFit="1" customWidth="1"/>
    <col min="18" max="18" width="10.5" style="1" bestFit="1" customWidth="1"/>
    <col min="19" max="19" width="14.25" style="1" bestFit="1" customWidth="1"/>
    <col min="20" max="16384" width="9" style="1"/>
  </cols>
  <sheetData>
    <row r="1" spans="1:17" x14ac:dyDescent="0.3">
      <c r="A1" s="3" t="s">
        <v>1178</v>
      </c>
      <c r="B1" s="3" t="s">
        <v>1316</v>
      </c>
      <c r="C1" s="3" t="s">
        <v>1029</v>
      </c>
      <c r="D1" s="26" t="s">
        <v>1030</v>
      </c>
      <c r="E1" s="3" t="s">
        <v>1251</v>
      </c>
      <c r="F1" s="3" t="s">
        <v>1031</v>
      </c>
    </row>
    <row r="2" spans="1:17" x14ac:dyDescent="0.3">
      <c r="A2" s="3">
        <v>1</v>
      </c>
      <c r="B2" s="3">
        <v>101</v>
      </c>
      <c r="C2" s="3">
        <v>1</v>
      </c>
      <c r="D2" s="26" t="str">
        <f>IF(C2=1,E2&amp;" 골드",IF(C2=2,INDEX('02.CardData'!E:E,MATCH(E2,'02.CardData'!B:B,0)),IF(C2=3,INDEX('03.RelicData'!E:E,MATCH(E2,'03.RelicData'!A:A,0)),IF(C2=4,INDEX('06.PackData'!C:C,MATCH(E2,'06.PackData'!A:A,0)),IF(C2=6,"가챠테이블_"&amp;E2&amp;" Gacha_ID참조","X")))))</f>
        <v>15 골드</v>
      </c>
      <c r="E2" s="3">
        <v>15</v>
      </c>
      <c r="F2" s="3">
        <v>0</v>
      </c>
      <c r="I2" s="32" t="s">
        <v>1335</v>
      </c>
      <c r="J2" s="34"/>
      <c r="K2" s="35"/>
    </row>
    <row r="3" spans="1:17" x14ac:dyDescent="0.3">
      <c r="A3" s="3">
        <v>2</v>
      </c>
      <c r="B3" s="3">
        <v>101</v>
      </c>
      <c r="C3" s="3">
        <v>6</v>
      </c>
      <c r="D3" s="26" t="str">
        <f>IF(C3=1,E3&amp;" 골드",IF(C3=2,INDEX('02.CardData'!E:E,MATCH(E3,'02.CardData'!B:B,0)),IF(C3=3,INDEX('03.RelicData'!E:E,MATCH(E3,'03.RelicData'!A:A,0)),IF(C3=4,INDEX('06.PackData'!C:C,MATCH(E3,'06.PackData'!A:A,0)),IF(C3=6,"가챠테이블_"&amp;E3&amp;" Gacha_ID참조","X")))))</f>
        <v>가챠테이블_10101 Gacha_ID참조</v>
      </c>
      <c r="E3" s="1">
        <v>10101</v>
      </c>
      <c r="F3" s="3">
        <v>1</v>
      </c>
      <c r="I3" s="2" t="s">
        <v>86</v>
      </c>
      <c r="J3" s="2" t="s">
        <v>87</v>
      </c>
      <c r="K3" s="2" t="s">
        <v>88</v>
      </c>
    </row>
    <row r="4" spans="1:17" x14ac:dyDescent="0.3">
      <c r="A4" s="3">
        <v>3</v>
      </c>
      <c r="B4" s="3">
        <v>102</v>
      </c>
      <c r="C4" s="3">
        <v>1</v>
      </c>
      <c r="D4" s="26" t="str">
        <f>IF(C4=1,E4&amp;" 골드",IF(C4=2,INDEX('02.CardData'!E:E,MATCH(E4,'02.CardData'!B:B,0)),IF(C4=3,INDEX('03.RelicData'!E:E,MATCH(E4,'03.RelicData'!A:A,0)),IF(C4=4,INDEX('06.PackData'!C:C,MATCH(E4,'06.PackData'!A:A,0)),IF(C4=6,"가챠테이블_"&amp;E4&amp;" Gacha_ID참조","X")))))</f>
        <v>45 골드</v>
      </c>
      <c r="E4" s="3">
        <v>45</v>
      </c>
      <c r="F4" s="3">
        <v>0</v>
      </c>
      <c r="I4" s="2" t="s">
        <v>1177</v>
      </c>
      <c r="J4" s="6" t="s">
        <v>89</v>
      </c>
      <c r="K4" s="6" t="s">
        <v>89</v>
      </c>
    </row>
    <row r="5" spans="1:17" x14ac:dyDescent="0.3">
      <c r="A5" s="3">
        <v>4</v>
      </c>
      <c r="B5" s="3">
        <v>102</v>
      </c>
      <c r="C5" s="3">
        <v>6</v>
      </c>
      <c r="D5" s="26" t="str">
        <f>IF(C5=1,E5&amp;" 골드",IF(C5=2,INDEX('02.CardData'!E:E,MATCH(E5,'02.CardData'!B:B,0)),IF(C5=3,INDEX('03.RelicData'!E:E,MATCH(E5,'03.RelicData'!A:A,0)),IF(C5=4,INDEX('06.PackData'!C:C,MATCH(E5,'06.PackData'!A:A,0)),IF(C5=6,"가챠테이블_"&amp;E5&amp;" Gacha_ID참조","X")))))</f>
        <v>가챠테이블_10201 Gacha_ID참조</v>
      </c>
      <c r="E5" s="1">
        <v>10201</v>
      </c>
      <c r="F5" s="3">
        <v>1</v>
      </c>
      <c r="I5" s="2" t="s">
        <v>1315</v>
      </c>
      <c r="J5" s="6" t="s">
        <v>1326</v>
      </c>
      <c r="K5" s="6" t="s">
        <v>89</v>
      </c>
    </row>
    <row r="6" spans="1:17" x14ac:dyDescent="0.3">
      <c r="A6" s="3">
        <v>5</v>
      </c>
      <c r="B6" s="3">
        <v>103</v>
      </c>
      <c r="C6" s="3">
        <v>1</v>
      </c>
      <c r="D6" s="26" t="str">
        <f>IF(C6=1,E6&amp;" 골드",IF(C6=2,INDEX('02.CardData'!E:E,MATCH(E6,'02.CardData'!B:B,0)),IF(C6=3,INDEX('03.RelicData'!E:E,MATCH(E6,'03.RelicData'!A:A,0)),IF(C6=4,INDEX('06.PackData'!C:C,MATCH(E6,'06.PackData'!A:A,0)),IF(C6=6,"가챠테이블_"&amp;E6&amp;" Gacha_ID참조","X")))))</f>
        <v>90 골드</v>
      </c>
      <c r="E6" s="3">
        <v>90</v>
      </c>
      <c r="F6" s="3">
        <v>0</v>
      </c>
      <c r="I6" s="2" t="s">
        <v>1029</v>
      </c>
      <c r="J6" s="6" t="s">
        <v>1327</v>
      </c>
      <c r="K6" s="6" t="s">
        <v>101</v>
      </c>
      <c r="M6" s="42" t="s">
        <v>1330</v>
      </c>
      <c r="N6" s="42"/>
      <c r="O6" s="42"/>
      <c r="P6" s="42"/>
      <c r="Q6" s="42"/>
    </row>
    <row r="7" spans="1:17" x14ac:dyDescent="0.3">
      <c r="A7" s="3">
        <v>6</v>
      </c>
      <c r="B7" s="3">
        <v>103</v>
      </c>
      <c r="C7" s="3">
        <v>6</v>
      </c>
      <c r="D7" s="26" t="str">
        <f>IF(C7=1,E7&amp;" 골드",IF(C7=2,INDEX('02.CardData'!E:E,MATCH(E7,'02.CardData'!B:B,0)),IF(C7=3,INDEX('03.RelicData'!E:E,MATCH(E7,'03.RelicData'!A:A,0)),IF(C7=4,INDEX('06.PackData'!C:C,MATCH(E7,'06.PackData'!A:A,0)),IF(C7=6,"가챠테이블_"&amp;E7&amp;" Gacha_ID참조","X")))))</f>
        <v>가챠테이블_10301 Gacha_ID참조</v>
      </c>
      <c r="E7" s="1">
        <v>10301</v>
      </c>
      <c r="F7" s="3">
        <v>1</v>
      </c>
      <c r="I7" s="2" t="s">
        <v>1324</v>
      </c>
      <c r="J7" s="6" t="s">
        <v>1328</v>
      </c>
      <c r="K7" s="6" t="s">
        <v>101</v>
      </c>
      <c r="M7" s="2" t="s">
        <v>1323</v>
      </c>
      <c r="N7" s="2" t="s">
        <v>87</v>
      </c>
      <c r="O7" s="2" t="s">
        <v>1324</v>
      </c>
      <c r="P7" s="2" t="s">
        <v>1325</v>
      </c>
      <c r="Q7" s="2" t="s">
        <v>1161</v>
      </c>
    </row>
    <row r="8" spans="1:17" x14ac:dyDescent="0.3">
      <c r="A8" s="3">
        <v>7</v>
      </c>
      <c r="B8" s="3">
        <v>103</v>
      </c>
      <c r="C8" s="3">
        <v>6</v>
      </c>
      <c r="D8" s="26" t="str">
        <f>IF(C8=1,E8&amp;" 골드",IF(C8=2,INDEX('02.CardData'!E:E,MATCH(E8,'02.CardData'!B:B,0)),IF(C8=3,INDEX('03.RelicData'!E:E,MATCH(E8,'03.RelicData'!A:A,0)),IF(C8=4,INDEX('06.PackData'!C:C,MATCH(E8,'06.PackData'!A:A,0)),IF(C8=6,"가챠테이블_"&amp;E8&amp;" Gacha_ID참조","X")))))</f>
        <v>가챠테이블_10302 Gacha_ID참조</v>
      </c>
      <c r="E8" s="1">
        <v>10302</v>
      </c>
      <c r="F8" s="3">
        <v>1</v>
      </c>
      <c r="I8" s="2" t="s">
        <v>1325</v>
      </c>
      <c r="J8" s="6" t="s">
        <v>1329</v>
      </c>
      <c r="K8" s="6" t="s">
        <v>123</v>
      </c>
      <c r="M8" s="3">
        <v>1</v>
      </c>
      <c r="N8" s="3" t="s">
        <v>1331</v>
      </c>
      <c r="O8" s="3" t="s">
        <v>1337</v>
      </c>
      <c r="P8" s="3" t="s">
        <v>1338</v>
      </c>
      <c r="Q8" s="3"/>
    </row>
    <row r="9" spans="1:17" x14ac:dyDescent="0.3">
      <c r="M9" s="3">
        <v>2</v>
      </c>
      <c r="N9" s="3" t="s">
        <v>1332</v>
      </c>
      <c r="O9" s="27" t="s">
        <v>1167</v>
      </c>
      <c r="P9" s="27" t="s">
        <v>1164</v>
      </c>
      <c r="Q9" s="27" t="s">
        <v>1168</v>
      </c>
    </row>
    <row r="10" spans="1:17" x14ac:dyDescent="0.3">
      <c r="M10" s="3">
        <v>3</v>
      </c>
      <c r="N10" s="3" t="s">
        <v>1333</v>
      </c>
      <c r="O10" s="27" t="s">
        <v>594</v>
      </c>
      <c r="P10" s="27" t="s">
        <v>1164</v>
      </c>
      <c r="Q10" s="27" t="s">
        <v>1169</v>
      </c>
    </row>
    <row r="11" spans="1:17" x14ac:dyDescent="0.3">
      <c r="M11" s="3">
        <v>4</v>
      </c>
      <c r="N11" s="3" t="s">
        <v>1334</v>
      </c>
      <c r="O11" s="3" t="s">
        <v>1009</v>
      </c>
      <c r="P11" s="27" t="s">
        <v>1164</v>
      </c>
      <c r="Q11" s="27" t="s">
        <v>1173</v>
      </c>
    </row>
    <row r="12" spans="1:17" x14ac:dyDescent="0.3">
      <c r="M12" s="3">
        <v>6</v>
      </c>
      <c r="N12" s="3" t="s">
        <v>1336</v>
      </c>
      <c r="O12" s="3" t="s">
        <v>1027</v>
      </c>
      <c r="P12" s="27" t="s">
        <v>1164</v>
      </c>
      <c r="Q12" s="3" t="s">
        <v>1339</v>
      </c>
    </row>
  </sheetData>
  <mergeCells count="2">
    <mergeCell ref="I2:K2"/>
    <mergeCell ref="M6:Q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  <vt:lpstr>06.PackData</vt:lpstr>
      <vt:lpstr>07.GachaData</vt:lpstr>
      <vt:lpstr>08.ShopItemData</vt:lpstr>
      <vt:lpstr>09.ShopData</vt:lpstr>
      <vt:lpstr>10.MapData</vt:lpstr>
      <vt:lpstr>11.RequestData</vt:lpstr>
      <vt:lpstr>12.RequestWeightData</vt:lpstr>
      <vt:lpstr>13.BoxData</vt:lpstr>
      <vt:lpstr>14.BoxItemData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2025-06-06T07:49:26Z</dcterms:created>
  <dcterms:modified xsi:type="dcterms:W3CDTF">2026-05-10T18:09:07Z</dcterms:modified>
</cp:coreProperties>
</file>